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cTap_2025_2026\KLTN_Nhom114\Taiieu\"/>
    </mc:Choice>
  </mc:AlternateContent>
  <bookViews>
    <workbookView xWindow="0" yWindow="0" windowWidth="28800" windowHeight="12420"/>
  </bookViews>
  <sheets>
    <sheet name="Sprin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8" i="1" l="1"/>
  <c r="V88" i="1"/>
  <c r="U88" i="1"/>
  <c r="T88" i="1"/>
  <c r="S88" i="1"/>
  <c r="R88" i="1"/>
  <c r="Q88" i="1"/>
  <c r="P88" i="1"/>
  <c r="O88" i="1"/>
  <c r="N88" i="1"/>
  <c r="L88" i="1"/>
  <c r="J88" i="1"/>
  <c r="I88" i="1"/>
  <c r="G88" i="1"/>
  <c r="W87" i="1"/>
  <c r="V87" i="1"/>
  <c r="U87" i="1"/>
  <c r="T87" i="1"/>
  <c r="S87" i="1"/>
  <c r="R87" i="1"/>
  <c r="Q87" i="1"/>
  <c r="P87" i="1"/>
  <c r="O87" i="1"/>
  <c r="N87" i="1"/>
  <c r="M87" i="1"/>
  <c r="M88" i="1" s="1"/>
  <c r="L87" i="1"/>
  <c r="J87" i="1"/>
  <c r="I87" i="1"/>
  <c r="G87" i="1"/>
  <c r="K24" i="1"/>
  <c r="K88" i="1" s="1"/>
  <c r="E12" i="1"/>
  <c r="D12" i="1"/>
  <c r="E11" i="1"/>
  <c r="D11" i="1"/>
  <c r="E10" i="1"/>
  <c r="D10" i="1"/>
  <c r="E9" i="1"/>
  <c r="D9" i="1"/>
  <c r="E8" i="1"/>
  <c r="E13" i="1" s="1"/>
  <c r="D8" i="1"/>
  <c r="D13" i="1" s="1"/>
  <c r="K87" i="1" l="1"/>
</calcChain>
</file>

<file path=xl/sharedStrings.xml><?xml version="1.0" encoding="utf-8"?>
<sst xmlns="http://schemas.openxmlformats.org/spreadsheetml/2006/main" count="159" uniqueCount="99">
  <si>
    <t>Project name:</t>
  </si>
  <si>
    <t>Xây dựng hệ thống quản lý và kiểm duyệt văn bản
 tích hợp chữ ký số RSA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</si>
  <si>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</si>
  <si>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</si>
  <si>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</si>
  <si>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</si>
  <si>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</si>
  <si>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</si>
  <si>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</si>
  <si>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</si>
  <si>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</si>
  <si>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</si>
  <si>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</si>
  <si>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</si>
  <si>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Cao Quảng Tuấn Hưng</t>
  </si>
  <si>
    <t>Nguyễn Công Khánh Tài</t>
  </si>
  <si>
    <t>Nguyễn Đình Phương</t>
  </si>
  <si>
    <t>Võ Anh Quân</t>
  </si>
  <si>
    <t>Lê Trung Vũ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</si>
  <si>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</si>
  <si>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</si>
  <si>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</si>
  <si>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</si>
  <si>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</si>
  <si>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</si>
  <si>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</si>
  <si>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</si>
  <si>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Hưng</t>
  </si>
  <si>
    <t>Tạo tài liệu kiểm thử cho Sprint</t>
  </si>
  <si>
    <t>Phương</t>
  </si>
  <si>
    <t>User interface design</t>
  </si>
  <si>
    <t>Giao diện đăng nhập</t>
  </si>
  <si>
    <t>Giao diện đăng xuất</t>
  </si>
  <si>
    <t>Giao diện đổi mật khẩu</t>
  </si>
  <si>
    <t>Giao diện quên mật khẩu</t>
  </si>
  <si>
    <t>Giao diện trang chủ</t>
  </si>
  <si>
    <t>Giao diện quản lý thông báo</t>
  </si>
  <si>
    <t>Giao diện xem thông báo</t>
  </si>
  <si>
    <t>Giao diện quản lý phòng học</t>
  </si>
  <si>
    <t>Review all user interfaces of sprint 1</t>
  </si>
  <si>
    <t>Design test case</t>
  </si>
  <si>
    <t>Thiết kế trường kiểm thử cho đăng nhập</t>
  </si>
  <si>
    <t>Quân</t>
  </si>
  <si>
    <t>Thiết kế trường kiểm thử cho đăng xuất</t>
  </si>
  <si>
    <t>Thiết kế trường kiểm thử cho đổi mật khẩu</t>
  </si>
  <si>
    <t>Thiết kế trường kiểm thử cho quên mật khẩu</t>
  </si>
  <si>
    <t>Thiết kế trường kiểm thử cho quản lý thông báo</t>
  </si>
  <si>
    <t>Vũ</t>
  </si>
  <si>
    <t>Thiết kế trường kiểm thử cho xem thông báo</t>
  </si>
  <si>
    <t>Thiết kế trường kiểm thử cho quản lý phòng học</t>
  </si>
  <si>
    <t>Review all test case of sprint 1</t>
  </si>
  <si>
    <t>Coding</t>
  </si>
  <si>
    <t>Thiết kê front-end cho đăng nhập</t>
  </si>
  <si>
    <t>Code back-end cho đăng nhập</t>
  </si>
  <si>
    <t>Thiết kê front-end cho trang chủ</t>
  </si>
  <si>
    <t>Code back-end cho trang chủ</t>
  </si>
  <si>
    <t>Thiết kê front-end cho đăng xuất</t>
  </si>
  <si>
    <t>Tài</t>
  </si>
  <si>
    <t>Code back-end cho đăng xuất</t>
  </si>
  <si>
    <t>Thiết kê front-end cho đổi mật khẩu</t>
  </si>
  <si>
    <t>Code back-end cho đổi mật khẩu</t>
  </si>
  <si>
    <t>Thiết kê front-end cho quên mật khẩu</t>
  </si>
  <si>
    <t>Code back-end cho quên mật khẩu</t>
  </si>
  <si>
    <t>Thiết kê front-end cho quản lý thông báo</t>
  </si>
  <si>
    <t>Code back-end cho thông báo</t>
  </si>
  <si>
    <t>Thiết kê front-end cho quản lý phòng học</t>
  </si>
  <si>
    <t>Code back-end cho quản lý phòng</t>
  </si>
  <si>
    <t>Thiết kê front-end cho xem thông báo</t>
  </si>
  <si>
    <t>Code back-end cho xem thông báo</t>
  </si>
  <si>
    <t xml:space="preserve">Integrate code </t>
  </si>
  <si>
    <t>Hưng,Tài</t>
  </si>
  <si>
    <t>Testing</t>
  </si>
  <si>
    <t>Kiểm tra đăng nhập</t>
  </si>
  <si>
    <t>Kiểm tra đăng xuất</t>
  </si>
  <si>
    <t>Kiểm tra đổi mật khẩu</t>
  </si>
  <si>
    <t>Kiểm tra quên mật khẩu</t>
  </si>
  <si>
    <t>Kiểm tra quản lý thông báo</t>
  </si>
  <si>
    <t>Kiểm tra xem thông báo</t>
  </si>
  <si>
    <t>Kiểm tra quản lý phòng học</t>
  </si>
  <si>
    <t>Fix Bug</t>
  </si>
  <si>
    <t>Sửa lỗi đăng nhập</t>
  </si>
  <si>
    <t>Sửa lỗi đăng xuất</t>
  </si>
  <si>
    <t>Sửa lỗi đổi mật khẩu</t>
  </si>
  <si>
    <t>Sửa lỗi quên mật khẩu</t>
  </si>
  <si>
    <t>Sửa lỗi quản lý thông báo</t>
  </si>
  <si>
    <t>Sửa lỗi xem thông báo</t>
  </si>
  <si>
    <t>Sửa lỗi quản lý phòng học</t>
  </si>
  <si>
    <t>Sữa lỗi trang chủ</t>
  </si>
  <si>
    <t>Re-testing</t>
  </si>
  <si>
    <t>Kiểm tra lại đăng nhập</t>
  </si>
  <si>
    <t>Kiểm tra lại đăng xuất</t>
  </si>
  <si>
    <t>Kiểm tra lại quên mật khẩu</t>
  </si>
  <si>
    <t>Kiểm tra lại đổi mật khẩu</t>
  </si>
  <si>
    <t>Kiểm tra lại quản lý thông báo</t>
  </si>
  <si>
    <t>Kiểm tra lại xem thông báo</t>
  </si>
  <si>
    <t>Kiểm tra lại quản lý phòng học</t>
  </si>
  <si>
    <t>Release Sprint 1</t>
  </si>
  <si>
    <t>Sprint 1 review meeting</t>
  </si>
  <si>
    <t>Sprint 1 retrospective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</si>
</sst>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"/>
  </numFmts>
  <fonts count="4" x14ac:knownFonts="1">
    <font>
      <sz val="12"/>
      <color theme="1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0" borderId="1" xfId="0" applyFont="1" applyBorder="1"/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2" fillId="4" borderId="6" xfId="0" applyFont="1" applyFill="1" applyBorder="1"/>
    <xf numFmtId="0" fontId="3" fillId="0" borderId="7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/>
    <xf numFmtId="0" fontId="1" fillId="5" borderId="8" xfId="0" applyFont="1" applyFill="1" applyBorder="1"/>
    <xf numFmtId="0" fontId="1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textRotation="90" wrapText="1"/>
    </xf>
    <xf numFmtId="164" fontId="1" fillId="0" borderId="8" xfId="0" applyNumberFormat="1" applyFont="1" applyBorder="1" applyAlignment="1">
      <alignment textRotation="90" wrapText="1"/>
    </xf>
    <xf numFmtId="164" fontId="1" fillId="0" borderId="0" xfId="0" applyNumberFormat="1" applyFont="1" applyBorder="1" applyAlignment="1">
      <alignment textRotation="90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2" borderId="8" xfId="0" applyFont="1" applyFill="1" applyBorder="1"/>
    <xf numFmtId="0" fontId="2" fillId="0" borderId="8" xfId="0" applyFont="1" applyFill="1" applyBorder="1"/>
    <xf numFmtId="0" fontId="2" fillId="0" borderId="0" xfId="0" applyFont="1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8" xfId="0" applyFont="1" applyFill="1" applyBorder="1"/>
    <xf numFmtId="0" fontId="2" fillId="3" borderId="8" xfId="0" applyFont="1" applyFill="1" applyBorder="1"/>
    <xf numFmtId="0" fontId="3" fillId="0" borderId="8" xfId="0" applyFont="1" applyBorder="1" applyAlignment="1">
      <alignment horizontal="center"/>
    </xf>
    <xf numFmtId="0" fontId="2" fillId="0" borderId="0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1" fillId="5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'[1]Sprint 1'!$I$15:$AE$15</c:f>
              <c:numCache>
                <c:formatCode>dd/mm</c:formatCode>
                <c:ptCount val="23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</c:numCache>
            </c:numRef>
          </c:cat>
          <c:val>
            <c:numRef>
              <c:f>'[1]Sprint 1'!$I$87:$X$87</c:f>
              <c:numCache>
                <c:formatCode>General</c:formatCode>
                <c:ptCount val="16"/>
                <c:pt idx="0">
                  <c:v>138</c:v>
                </c:pt>
                <c:pt idx="1">
                  <c:v>125</c:v>
                </c:pt>
                <c:pt idx="2">
                  <c:v>118</c:v>
                </c:pt>
                <c:pt idx="3">
                  <c:v>107</c:v>
                </c:pt>
                <c:pt idx="4">
                  <c:v>99</c:v>
                </c:pt>
                <c:pt idx="5">
                  <c:v>88</c:v>
                </c:pt>
                <c:pt idx="6">
                  <c:v>80</c:v>
                </c:pt>
                <c:pt idx="7">
                  <c:v>73</c:v>
                </c:pt>
                <c:pt idx="8">
                  <c:v>60</c:v>
                </c:pt>
                <c:pt idx="9">
                  <c:v>56</c:v>
                </c:pt>
                <c:pt idx="10">
                  <c:v>50</c:v>
                </c:pt>
                <c:pt idx="11">
                  <c:v>45</c:v>
                </c:pt>
                <c:pt idx="12">
                  <c:v>30</c:v>
                </c:pt>
                <c:pt idx="13">
                  <c:v>22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marker>
            <c:symbol val="none"/>
          </c:marker>
          <c:cat>
            <c:numRef>
              <c:f>'[1]Sprint 1'!$I$15:$AE$15</c:f>
              <c:numCache>
                <c:formatCode>dd/mm</c:formatCode>
                <c:ptCount val="23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</c:numCache>
            </c:numRef>
          </c:cat>
          <c:val>
            <c:numRef>
              <c:f>'[1]Sprint 1'!$I$88:$X$88</c:f>
              <c:numCache>
                <c:formatCode>General</c:formatCode>
                <c:ptCount val="16"/>
                <c:pt idx="0">
                  <c:v>138</c:v>
                </c:pt>
                <c:pt idx="1">
                  <c:v>125</c:v>
                </c:pt>
                <c:pt idx="2">
                  <c:v>118</c:v>
                </c:pt>
                <c:pt idx="3">
                  <c:v>112</c:v>
                </c:pt>
                <c:pt idx="4">
                  <c:v>99</c:v>
                </c:pt>
                <c:pt idx="5">
                  <c:v>94</c:v>
                </c:pt>
                <c:pt idx="6">
                  <c:v>80</c:v>
                </c:pt>
                <c:pt idx="7">
                  <c:v>72.5</c:v>
                </c:pt>
                <c:pt idx="8">
                  <c:v>60</c:v>
                </c:pt>
                <c:pt idx="9">
                  <c:v>56</c:v>
                </c:pt>
                <c:pt idx="10">
                  <c:v>50.5</c:v>
                </c:pt>
                <c:pt idx="11">
                  <c:v>39</c:v>
                </c:pt>
                <c:pt idx="12">
                  <c:v>29</c:v>
                </c:pt>
                <c:pt idx="13">
                  <c:v>22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567304"/>
        <c:axId val="426566520"/>
      </c:lineChart>
      <c:dateAx>
        <c:axId val="42656730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426566520"/>
        <c:crosses val="autoZero"/>
        <c:auto val="1"/>
        <c:lblOffset val="100"/>
        <c:baseTimeUnit val="days"/>
      </c:dateAx>
      <c:valAx>
        <c:axId val="426566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567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'[1]Sprint 1'!$G$87:$AE$87</c:f>
              <c:numCache>
                <c:formatCode>General</c:formatCode>
                <c:ptCount val="25"/>
                <c:pt idx="0">
                  <c:v>133</c:v>
                </c:pt>
                <c:pt idx="2">
                  <c:v>138</c:v>
                </c:pt>
                <c:pt idx="3">
                  <c:v>125</c:v>
                </c:pt>
                <c:pt idx="4">
                  <c:v>118</c:v>
                </c:pt>
                <c:pt idx="5">
                  <c:v>107</c:v>
                </c:pt>
                <c:pt idx="6">
                  <c:v>99</c:v>
                </c:pt>
                <c:pt idx="7">
                  <c:v>88</c:v>
                </c:pt>
                <c:pt idx="8">
                  <c:v>80</c:v>
                </c:pt>
                <c:pt idx="9">
                  <c:v>73</c:v>
                </c:pt>
                <c:pt idx="10">
                  <c:v>60</c:v>
                </c:pt>
                <c:pt idx="11">
                  <c:v>56</c:v>
                </c:pt>
                <c:pt idx="12">
                  <c:v>50</c:v>
                </c:pt>
                <c:pt idx="13">
                  <c:v>45</c:v>
                </c:pt>
                <c:pt idx="14">
                  <c:v>30</c:v>
                </c:pt>
                <c:pt idx="15">
                  <c:v>22</c:v>
                </c:pt>
                <c:pt idx="16">
                  <c:v>10</c:v>
                </c:pt>
                <c:pt idx="1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'[1]Sprint 1'!$G$88:$AE$88</c:f>
              <c:numCache>
                <c:formatCode>General</c:formatCode>
                <c:ptCount val="25"/>
                <c:pt idx="0">
                  <c:v>149</c:v>
                </c:pt>
                <c:pt idx="2">
                  <c:v>138</c:v>
                </c:pt>
                <c:pt idx="3">
                  <c:v>125</c:v>
                </c:pt>
                <c:pt idx="4">
                  <c:v>118</c:v>
                </c:pt>
                <c:pt idx="5">
                  <c:v>112</c:v>
                </c:pt>
                <c:pt idx="6">
                  <c:v>99</c:v>
                </c:pt>
                <c:pt idx="7">
                  <c:v>94</c:v>
                </c:pt>
                <c:pt idx="8">
                  <c:v>80</c:v>
                </c:pt>
                <c:pt idx="9">
                  <c:v>72.5</c:v>
                </c:pt>
                <c:pt idx="10">
                  <c:v>60</c:v>
                </c:pt>
                <c:pt idx="11">
                  <c:v>56</c:v>
                </c:pt>
                <c:pt idx="12">
                  <c:v>50.5</c:v>
                </c:pt>
                <c:pt idx="13">
                  <c:v>39</c:v>
                </c:pt>
                <c:pt idx="14">
                  <c:v>29</c:v>
                </c:pt>
                <c:pt idx="15">
                  <c:v>22</c:v>
                </c:pt>
                <c:pt idx="16">
                  <c:v>10</c:v>
                </c:pt>
                <c:pt idx="1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560248"/>
        <c:axId val="426557504"/>
      </c:lineChart>
      <c:catAx>
        <c:axId val="426560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57504"/>
        <c:crosses val="autoZero"/>
        <c:auto val="1"/>
        <c:lblAlgn val="ctr"/>
        <c:lblOffset val="100"/>
        <c:noMultiLvlLbl val="0"/>
      </c:catAx>
      <c:valAx>
        <c:axId val="4265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89</xdr:row>
      <xdr:rowOff>57149</xdr:rowOff>
    </xdr:from>
    <xdr:to>
      <xdr:col>18</xdr:col>
      <xdr:colOff>285750</xdr:colOff>
      <xdr:row>121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91</xdr:row>
      <xdr:rowOff>29936</xdr:rowOff>
    </xdr:from>
    <xdr:to>
      <xdr:col>16</xdr:col>
      <xdr:colOff>326571</xdr:colOff>
      <xdr:row>104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cTap_2025_2026/KLTN_Nhom114/Bao%20cao%20Su%20dung%20cho%20de%20tai%20nhom/SCI_SE_10.ProjectSprintBack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int 1"/>
      <sheetName val="Sprint 2"/>
      <sheetName val="Sprint 3"/>
      <sheetName val="Total"/>
    </sheetNames>
    <sheetDataSet>
      <sheetData sheetId="0">
        <row r="15">
          <cell r="I15">
            <v>46098</v>
          </cell>
          <cell r="J15">
            <v>46099</v>
          </cell>
          <cell r="K15">
            <v>46100</v>
          </cell>
          <cell r="L15">
            <v>46101</v>
          </cell>
          <cell r="M15">
            <v>46102</v>
          </cell>
          <cell r="N15">
            <v>46103</v>
          </cell>
          <cell r="O15">
            <v>46104</v>
          </cell>
          <cell r="P15">
            <v>46105</v>
          </cell>
          <cell r="Q15">
            <v>46106</v>
          </cell>
          <cell r="R15">
            <v>46107</v>
          </cell>
          <cell r="S15">
            <v>46108</v>
          </cell>
          <cell r="T15">
            <v>46109</v>
          </cell>
          <cell r="U15">
            <v>46110</v>
          </cell>
          <cell r="V15">
            <v>46111</v>
          </cell>
          <cell r="W15">
            <v>46112</v>
          </cell>
          <cell r="X15">
            <v>46113</v>
          </cell>
        </row>
        <row r="87">
          <cell r="G87">
            <v>133</v>
          </cell>
          <cell r="I87">
            <v>138</v>
          </cell>
          <cell r="J87">
            <v>125</v>
          </cell>
          <cell r="K87">
            <v>118</v>
          </cell>
          <cell r="L87">
            <v>107</v>
          </cell>
          <cell r="M87">
            <v>99</v>
          </cell>
          <cell r="N87">
            <v>88</v>
          </cell>
          <cell r="O87">
            <v>80</v>
          </cell>
          <cell r="P87">
            <v>73</v>
          </cell>
          <cell r="Q87">
            <v>60</v>
          </cell>
          <cell r="R87">
            <v>56</v>
          </cell>
          <cell r="S87">
            <v>50</v>
          </cell>
          <cell r="T87">
            <v>45</v>
          </cell>
          <cell r="U87">
            <v>30</v>
          </cell>
          <cell r="V87">
            <v>22</v>
          </cell>
          <cell r="W87">
            <v>10</v>
          </cell>
          <cell r="X87">
            <v>0</v>
          </cell>
        </row>
        <row r="88">
          <cell r="G88">
            <v>149</v>
          </cell>
          <cell r="I88">
            <v>138</v>
          </cell>
          <cell r="J88">
            <v>125</v>
          </cell>
          <cell r="K88">
            <v>118</v>
          </cell>
          <cell r="L88">
            <v>112</v>
          </cell>
          <cell r="M88">
            <v>99</v>
          </cell>
          <cell r="N88">
            <v>94</v>
          </cell>
          <cell r="O88">
            <v>80</v>
          </cell>
          <cell r="P88">
            <v>72.5</v>
          </cell>
          <cell r="Q88">
            <v>60</v>
          </cell>
          <cell r="R88">
            <v>56</v>
          </cell>
          <cell r="S88">
            <v>50.5</v>
          </cell>
          <cell r="T88">
            <v>39</v>
          </cell>
          <cell r="U88">
            <v>29</v>
          </cell>
          <cell r="V88">
            <v>22</v>
          </cell>
          <cell r="W88">
            <v>10</v>
          </cell>
          <cell r="X88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"/>
  <sheetViews>
    <sheetView tabSelected="1" zoomScale="70" zoomScaleNormal="70" workbookViewId="0">
      <selection activeCell="X8" sqref="X8"/>
    </sheetView>
  </sheetViews>
  <sheetFormatPr defaultColWidth="8" defaultRowHeight="16.5" x14ac:dyDescent="0.25"/>
  <cols>
    <col min="1" max="1" width="14" style="3" customWidth="1"/>
    <col min="2" max="2" width="17.75" style="3" customWidth="1"/>
    <col min="3" max="3" width="48.5" style="3" customWidth="1"/>
    <col min="4" max="5" width="9.625" style="3" customWidth="1"/>
    <col min="6" max="6" width="18" style="3" customWidth="1"/>
    <col min="7" max="8" width="5.375" style="3" customWidth="1"/>
    <col min="9" max="9" width="5.25" style="3" customWidth="1"/>
    <col min="10" max="13" width="5.375" style="3" customWidth="1"/>
    <col min="14" max="14" width="5.25" style="3" customWidth="1"/>
    <col min="15" max="15" width="5.375" style="3" customWidth="1"/>
    <col min="16" max="20" width="5.25" style="3" customWidth="1"/>
    <col min="21" max="23" width="5.375" style="3" customWidth="1"/>
    <col min="24" max="24" width="5.25" style="3" customWidth="1"/>
    <col min="25" max="25" width="5.375" style="3" customWidth="1"/>
    <col min="26" max="26" width="5.25" style="3" customWidth="1"/>
    <col min="27" max="27" width="5.125" style="3" customWidth="1"/>
    <col min="28" max="28" width="5.375" style="3" customWidth="1"/>
    <col min="29" max="31" width="5.25" style="3" customWidth="1"/>
    <col min="32" max="16384" width="8" style="3"/>
  </cols>
  <sheetData>
    <row r="1" spans="1:32" ht="33.75" thickBot="1" x14ac:dyDescent="0.3">
      <c r="A1" s="1" t="s">
        <v>0</v>
      </c>
      <c r="B1" s="1"/>
      <c r="C1" s="2" t="s">
        <v>1</v>
      </c>
      <c r="E1" s="4"/>
      <c r="F1" s="5" t="s">
        <v>2</v>
      </c>
    </row>
    <row r="2" spans="1:32" ht="17.25" thickBot="1" x14ac:dyDescent="0.3">
      <c r="A2" s="1" t="s">
        <v>3</v>
      </c>
      <c r="B2" s="1"/>
      <c r="C2" s="6" t="s">
        <v>4</v>
      </c>
      <c r="E2" s="7"/>
      <c r="F2" s="8" t="s">
        <v>5</v>
      </c>
    </row>
    <row r="3" spans="1:32" ht="17.25" thickBot="1" x14ac:dyDescent="0.3">
      <c r="A3" s="1" t="s">
        <v>6</v>
      </c>
      <c r="B3" s="1"/>
      <c r="C3" s="9">
        <v>46098</v>
      </c>
      <c r="E3" s="10"/>
      <c r="F3" s="11" t="s">
        <v>7</v>
      </c>
    </row>
    <row r="4" spans="1:32" ht="17.25" customHeight="1" thickBot="1" x14ac:dyDescent="0.3">
      <c r="A4" s="1" t="s">
        <v>8</v>
      </c>
      <c r="B4" s="1"/>
      <c r="C4" s="9">
        <v>46113</v>
      </c>
    </row>
    <row r="5" spans="1:32" ht="16.5" customHeight="1" thickBot="1" x14ac:dyDescent="0.3"/>
    <row r="6" spans="1:32" ht="17.25" thickBot="1" x14ac:dyDescent="0.3">
      <c r="B6" s="12" t="s">
        <v>9</v>
      </c>
      <c r="C6" s="12"/>
      <c r="D6" s="12"/>
      <c r="E6" s="12"/>
    </row>
    <row r="7" spans="1:32" ht="17.25" thickBot="1" x14ac:dyDescent="0.3">
      <c r="B7" s="13" t="s">
        <v>10</v>
      </c>
      <c r="C7" s="13" t="s">
        <v>11</v>
      </c>
      <c r="D7" s="13" t="s">
        <v>12</v>
      </c>
      <c r="E7" s="13" t="s">
        <v>13</v>
      </c>
    </row>
    <row r="8" spans="1:32" ht="17.25" thickBot="1" x14ac:dyDescent="0.3">
      <c r="B8" s="14">
        <v>1</v>
      </c>
      <c r="C8" s="6" t="s">
        <v>14</v>
      </c>
      <c r="D8" s="6">
        <f ca="1">SUMIF($E$16:$F$86,"Hưng",$G$16:$G$86)+SUMIF($E$16:$F$86,"All team",$G$16:$G$86)/5+SUMIF($E$16:$F$86,"Hưng,Tài",$G$16:$G$86)/2</f>
        <v>48.8</v>
      </c>
      <c r="E8" s="6">
        <f ca="1">SUMIF($E$16:$F$86,"Hưng",$H$16:$H$86)+SUMIF($E$16:$F$86,"All team",$H$16:$H$86)/5+SUMIF($E$16:$F$86,"Hưng,Tài",$H$16:$H$86)/2</f>
        <v>54</v>
      </c>
    </row>
    <row r="9" spans="1:32" ht="17.25" thickBot="1" x14ac:dyDescent="0.3">
      <c r="B9" s="14">
        <v>2</v>
      </c>
      <c r="C9" s="6" t="s">
        <v>15</v>
      </c>
      <c r="D9" s="6">
        <f ca="1">SUMIF($E$16:$F$86,"Tài",$G$16:$G$86)+SUMIF($E$16:$F$86,"All team",$G$16:$G$86)/5+SUMIF($E$16:$F$86,"Hưng,Tài",$G$16:$G$86)/2</f>
        <v>21.8</v>
      </c>
      <c r="E9" s="6">
        <f ca="1">SUMIF($E$16:$F$86,"Tài",$H$16:$H$86)+SUMIF($E$16:$F$86,"All team",$H$16:$H$86)/5+SUMIF($E$16:$F$86,"Hưng,Tài",$H$16:$H$86)/2</f>
        <v>26</v>
      </c>
    </row>
    <row r="10" spans="1:32" ht="17.25" thickBot="1" x14ac:dyDescent="0.3">
      <c r="B10" s="14">
        <v>3</v>
      </c>
      <c r="C10" s="6" t="s">
        <v>16</v>
      </c>
      <c r="D10" s="6">
        <f ca="1">SUMIF($E$16:$F$86,"Phương",$G$16:$G$86)+SUMIF($E$16:$F$86,"All team",$G$16:$G$86)/5</f>
        <v>22.8</v>
      </c>
      <c r="E10" s="6">
        <f ca="1">SUMIF($E$16:$F$86,"Phương",$H$16:$H$86)+SUMIF($E$16:$F$86,"All team",$H$16:$H$86)/5</f>
        <v>25</v>
      </c>
    </row>
    <row r="11" spans="1:32" ht="17.25" thickBot="1" x14ac:dyDescent="0.3">
      <c r="B11" s="14">
        <v>4</v>
      </c>
      <c r="C11" s="6" t="s">
        <v>17</v>
      </c>
      <c r="D11" s="6">
        <f ca="1">SUMIF($E$16:$F$86,"Quân",$G$16:$G$86)+SUMIF($E$16:$F$86,"All team",$G$16:$G$86)/5</f>
        <v>20.8</v>
      </c>
      <c r="E11" s="6">
        <f ca="1">SUMIF($E$16:$F$86,"Quân",$H$16:$H$86)+SUMIF($E$16:$F$86,"All team",$H$16:$H$86)/5</f>
        <v>23</v>
      </c>
    </row>
    <row r="12" spans="1:32" ht="17.25" thickBot="1" x14ac:dyDescent="0.3">
      <c r="B12" s="14">
        <v>5</v>
      </c>
      <c r="C12" s="6" t="s">
        <v>18</v>
      </c>
      <c r="D12" s="6">
        <f ca="1">SUMIF($E$16:$F$86,"Vũ",$G$16:$G$86)+SUMIF($E$16:$F$86,"All team",$G$16:$G$86)/5</f>
        <v>18.8</v>
      </c>
      <c r="E12" s="6">
        <f ca="1">SUMIF($E$16:$F$86,"Vũ",$H$16:$H$86)+SUMIF($E$16:$F$86,"All team",$H$16:$H$86)/5</f>
        <v>21</v>
      </c>
    </row>
    <row r="13" spans="1:32" ht="17.25" thickBot="1" x14ac:dyDescent="0.3">
      <c r="B13" s="12" t="s">
        <v>19</v>
      </c>
      <c r="C13" s="12"/>
      <c r="D13" s="15">
        <f ca="1">SUM(D8:D12)</f>
        <v>133</v>
      </c>
      <c r="E13" s="15">
        <f ca="1">SUM(E8:E12)</f>
        <v>149</v>
      </c>
    </row>
    <row r="15" spans="1:32" ht="62.25" customHeight="1" x14ac:dyDescent="0.25">
      <c r="A15" s="16" t="s">
        <v>20</v>
      </c>
      <c r="B15" s="16" t="s">
        <v>21</v>
      </c>
      <c r="C15" s="17" t="s">
        <v>22</v>
      </c>
      <c r="D15" s="17"/>
      <c r="E15" s="17" t="s">
        <v>23</v>
      </c>
      <c r="F15" s="17"/>
      <c r="G15" s="18" t="s">
        <v>12</v>
      </c>
      <c r="H15" s="18" t="s">
        <v>13</v>
      </c>
      <c r="I15" s="19">
        <v>46098</v>
      </c>
      <c r="J15" s="19">
        <v>46099</v>
      </c>
      <c r="K15" s="19">
        <v>46100</v>
      </c>
      <c r="L15" s="19">
        <v>46101</v>
      </c>
      <c r="M15" s="19">
        <v>46102</v>
      </c>
      <c r="N15" s="19">
        <v>46103</v>
      </c>
      <c r="O15" s="19">
        <v>46104</v>
      </c>
      <c r="P15" s="19">
        <v>46105</v>
      </c>
      <c r="Q15" s="19">
        <v>46106</v>
      </c>
      <c r="R15" s="19">
        <v>46107</v>
      </c>
      <c r="S15" s="19">
        <v>46108</v>
      </c>
      <c r="T15" s="19">
        <v>46109</v>
      </c>
      <c r="U15" s="19">
        <v>46110</v>
      </c>
      <c r="V15" s="19">
        <v>46111</v>
      </c>
      <c r="W15" s="19">
        <v>46112</v>
      </c>
      <c r="X15" s="19">
        <v>46113</v>
      </c>
      <c r="Y15" s="20"/>
      <c r="Z15" s="20"/>
      <c r="AA15" s="20"/>
      <c r="AB15" s="20"/>
      <c r="AC15" s="20"/>
      <c r="AD15" s="20"/>
      <c r="AE15" s="20"/>
      <c r="AF15" s="20"/>
    </row>
    <row r="16" spans="1:32" x14ac:dyDescent="0.25">
      <c r="A16" s="21" t="s">
        <v>4</v>
      </c>
      <c r="B16" s="22" t="s">
        <v>24</v>
      </c>
      <c r="C16" s="22"/>
      <c r="D16" s="22"/>
      <c r="E16" s="23" t="s">
        <v>25</v>
      </c>
      <c r="F16" s="23"/>
      <c r="G16" s="24">
        <v>10</v>
      </c>
      <c r="H16" s="24">
        <v>10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7"/>
      <c r="Z16" s="27"/>
      <c r="AA16" s="27"/>
      <c r="AB16" s="27"/>
      <c r="AC16" s="27"/>
      <c r="AD16" s="27"/>
      <c r="AE16" s="27"/>
      <c r="AF16" s="27"/>
    </row>
    <row r="17" spans="1:32" x14ac:dyDescent="0.25">
      <c r="A17" s="21"/>
      <c r="B17" s="22" t="s">
        <v>26</v>
      </c>
      <c r="C17" s="22"/>
      <c r="D17" s="22"/>
      <c r="E17" s="23" t="s">
        <v>27</v>
      </c>
      <c r="F17" s="23"/>
      <c r="G17" s="24">
        <v>4</v>
      </c>
      <c r="H17" s="24">
        <v>4</v>
      </c>
      <c r="I17" s="26">
        <v>4</v>
      </c>
      <c r="J17" s="25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7"/>
      <c r="Z17" s="27"/>
      <c r="AA17" s="27"/>
      <c r="AB17" s="27"/>
      <c r="AC17" s="27"/>
      <c r="AD17" s="27"/>
      <c r="AE17" s="27"/>
      <c r="AF17" s="27"/>
    </row>
    <row r="18" spans="1:32" x14ac:dyDescent="0.25">
      <c r="A18" s="21"/>
      <c r="B18" s="22" t="s">
        <v>28</v>
      </c>
      <c r="C18" s="22"/>
      <c r="D18" s="22"/>
      <c r="E18" s="23" t="s">
        <v>29</v>
      </c>
      <c r="F18" s="23"/>
      <c r="G18" s="24">
        <v>4</v>
      </c>
      <c r="H18" s="24">
        <v>4</v>
      </c>
      <c r="I18" s="26">
        <v>4</v>
      </c>
      <c r="J18" s="25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7"/>
      <c r="Z18" s="27"/>
      <c r="AA18" s="27"/>
      <c r="AB18" s="27"/>
      <c r="AC18" s="27"/>
      <c r="AD18" s="27"/>
      <c r="AE18" s="27"/>
      <c r="AF18" s="27"/>
    </row>
    <row r="19" spans="1:32" x14ac:dyDescent="0.25">
      <c r="A19" s="21"/>
      <c r="B19" s="21" t="s">
        <v>30</v>
      </c>
      <c r="C19" s="22" t="s">
        <v>31</v>
      </c>
      <c r="D19" s="22"/>
      <c r="E19" s="23" t="s">
        <v>29</v>
      </c>
      <c r="F19" s="23"/>
      <c r="G19" s="24">
        <v>1</v>
      </c>
      <c r="H19" s="24">
        <v>1</v>
      </c>
      <c r="I19" s="26">
        <v>1</v>
      </c>
      <c r="J19" s="25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7"/>
      <c r="Z19" s="27"/>
      <c r="AA19" s="27"/>
      <c r="AB19" s="27"/>
      <c r="AC19" s="27"/>
      <c r="AD19" s="27"/>
      <c r="AE19" s="27"/>
      <c r="AF19" s="27"/>
    </row>
    <row r="20" spans="1:32" x14ac:dyDescent="0.25">
      <c r="A20" s="21"/>
      <c r="B20" s="21"/>
      <c r="C20" s="22" t="s">
        <v>32</v>
      </c>
      <c r="D20" s="22"/>
      <c r="E20" s="23" t="s">
        <v>29</v>
      </c>
      <c r="F20" s="23"/>
      <c r="G20" s="24">
        <v>1</v>
      </c>
      <c r="H20" s="24">
        <v>1</v>
      </c>
      <c r="I20" s="26">
        <v>1</v>
      </c>
      <c r="J20" s="25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7"/>
      <c r="Z20" s="27"/>
      <c r="AA20" s="27"/>
      <c r="AB20" s="27"/>
      <c r="AC20" s="27"/>
      <c r="AD20" s="27"/>
      <c r="AE20" s="27"/>
      <c r="AF20" s="27"/>
    </row>
    <row r="21" spans="1:32" x14ac:dyDescent="0.25">
      <c r="A21" s="21"/>
      <c r="B21" s="21"/>
      <c r="C21" s="22" t="s">
        <v>33</v>
      </c>
      <c r="D21" s="22"/>
      <c r="E21" s="23" t="s">
        <v>29</v>
      </c>
      <c r="F21" s="23"/>
      <c r="G21" s="24">
        <v>2</v>
      </c>
      <c r="H21" s="24">
        <v>2</v>
      </c>
      <c r="I21" s="24">
        <v>2</v>
      </c>
      <c r="J21" s="25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7"/>
      <c r="Z21" s="27"/>
      <c r="AA21" s="27"/>
      <c r="AB21" s="27"/>
      <c r="AC21" s="27"/>
      <c r="AD21" s="27"/>
      <c r="AE21" s="27"/>
      <c r="AF21" s="27"/>
    </row>
    <row r="22" spans="1:32" x14ac:dyDescent="0.25">
      <c r="A22" s="21"/>
      <c r="B22" s="21"/>
      <c r="C22" s="28" t="s">
        <v>34</v>
      </c>
      <c r="D22" s="29"/>
      <c r="E22" s="23" t="s">
        <v>29</v>
      </c>
      <c r="F22" s="23"/>
      <c r="G22" s="24">
        <v>1</v>
      </c>
      <c r="H22" s="24">
        <v>1</v>
      </c>
      <c r="I22" s="24">
        <v>1</v>
      </c>
      <c r="J22" s="25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7"/>
      <c r="Z22" s="27"/>
      <c r="AA22" s="27"/>
      <c r="AB22" s="27"/>
      <c r="AC22" s="27"/>
      <c r="AD22" s="27"/>
      <c r="AE22" s="27"/>
      <c r="AF22" s="27"/>
    </row>
    <row r="23" spans="1:32" x14ac:dyDescent="0.25">
      <c r="A23" s="21"/>
      <c r="B23" s="21"/>
      <c r="C23" s="22" t="s">
        <v>35</v>
      </c>
      <c r="D23" s="22"/>
      <c r="E23" s="23" t="s">
        <v>29</v>
      </c>
      <c r="F23" s="23"/>
      <c r="G23" s="24">
        <v>2.5</v>
      </c>
      <c r="H23" s="24">
        <v>3</v>
      </c>
      <c r="I23" s="24">
        <v>3</v>
      </c>
      <c r="J23" s="24">
        <v>3</v>
      </c>
      <c r="K23" s="25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7"/>
      <c r="Z23" s="27"/>
      <c r="AA23" s="27"/>
      <c r="AB23" s="27"/>
      <c r="AC23" s="27"/>
      <c r="AD23" s="27"/>
      <c r="AE23" s="27"/>
      <c r="AF23" s="27"/>
    </row>
    <row r="24" spans="1:32" x14ac:dyDescent="0.25">
      <c r="A24" s="21"/>
      <c r="B24" s="21"/>
      <c r="C24" s="30"/>
      <c r="D24" s="31"/>
      <c r="E24" s="30"/>
      <c r="F24" s="31"/>
      <c r="G24" s="24"/>
      <c r="H24" s="24"/>
      <c r="I24" s="24"/>
      <c r="J24" s="24"/>
      <c r="K24" s="32">
        <f>0.5</f>
        <v>0.5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7"/>
      <c r="Z24" s="27"/>
      <c r="AA24" s="27"/>
      <c r="AB24" s="27"/>
      <c r="AC24" s="27"/>
      <c r="AD24" s="27"/>
      <c r="AE24" s="27"/>
      <c r="AF24" s="27"/>
    </row>
    <row r="25" spans="1:32" x14ac:dyDescent="0.25">
      <c r="A25" s="21"/>
      <c r="B25" s="21"/>
      <c r="C25" s="22" t="s">
        <v>36</v>
      </c>
      <c r="D25" s="22"/>
      <c r="E25" s="23" t="s">
        <v>29</v>
      </c>
      <c r="F25" s="23"/>
      <c r="G25" s="24">
        <v>2</v>
      </c>
      <c r="H25" s="24">
        <v>2</v>
      </c>
      <c r="I25" s="24">
        <v>2</v>
      </c>
      <c r="J25" s="24">
        <v>2</v>
      </c>
      <c r="K25" s="25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7"/>
      <c r="Z25" s="27"/>
      <c r="AA25" s="27"/>
      <c r="AB25" s="27"/>
      <c r="AC25" s="27"/>
      <c r="AD25" s="27"/>
      <c r="AE25" s="27"/>
      <c r="AF25" s="27"/>
    </row>
    <row r="26" spans="1:32" x14ac:dyDescent="0.25">
      <c r="A26" s="21"/>
      <c r="B26" s="21"/>
      <c r="C26" s="22" t="s">
        <v>37</v>
      </c>
      <c r="D26" s="22"/>
      <c r="E26" s="23" t="s">
        <v>29</v>
      </c>
      <c r="F26" s="23"/>
      <c r="G26" s="24">
        <v>1</v>
      </c>
      <c r="H26" s="24">
        <v>1</v>
      </c>
      <c r="I26" s="26">
        <v>1</v>
      </c>
      <c r="J26" s="26">
        <v>1</v>
      </c>
      <c r="K26" s="25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7"/>
      <c r="Z26" s="27"/>
      <c r="AA26" s="27"/>
      <c r="AB26" s="27"/>
      <c r="AC26" s="27"/>
      <c r="AD26" s="27"/>
      <c r="AE26" s="27"/>
      <c r="AF26" s="27"/>
    </row>
    <row r="27" spans="1:32" x14ac:dyDescent="0.25">
      <c r="A27" s="21"/>
      <c r="B27" s="21"/>
      <c r="C27" s="28" t="s">
        <v>38</v>
      </c>
      <c r="D27" s="29"/>
      <c r="E27" s="23" t="s">
        <v>29</v>
      </c>
      <c r="F27" s="23"/>
      <c r="G27" s="24">
        <v>2.5</v>
      </c>
      <c r="H27" s="24">
        <v>2</v>
      </c>
      <c r="I27" s="24">
        <v>2</v>
      </c>
      <c r="J27" s="24">
        <v>2</v>
      </c>
      <c r="K27" s="25">
        <v>0</v>
      </c>
      <c r="L27" s="26">
        <v>0</v>
      </c>
      <c r="M27" s="26">
        <v>1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7"/>
      <c r="Z27" s="27"/>
      <c r="AA27" s="27"/>
      <c r="AB27" s="27"/>
      <c r="AC27" s="27"/>
      <c r="AD27" s="27"/>
      <c r="AE27" s="27"/>
      <c r="AF27" s="27"/>
    </row>
    <row r="28" spans="1:32" x14ac:dyDescent="0.25">
      <c r="A28" s="21"/>
      <c r="B28" s="21"/>
      <c r="C28" s="30"/>
      <c r="D28" s="31"/>
      <c r="E28" s="30"/>
      <c r="F28" s="31"/>
      <c r="G28" s="24"/>
      <c r="H28" s="24"/>
      <c r="I28" s="24"/>
      <c r="J28" s="24"/>
      <c r="K28" s="33">
        <v>0.5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7"/>
      <c r="Z28" s="27"/>
      <c r="AA28" s="27"/>
      <c r="AB28" s="27"/>
      <c r="AC28" s="27"/>
      <c r="AD28" s="27"/>
      <c r="AE28" s="27"/>
      <c r="AF28" s="27"/>
    </row>
    <row r="29" spans="1:32" x14ac:dyDescent="0.25">
      <c r="A29" s="21"/>
      <c r="B29" s="21"/>
      <c r="C29" s="22" t="s">
        <v>39</v>
      </c>
      <c r="D29" s="22"/>
      <c r="E29" s="23" t="s">
        <v>25</v>
      </c>
      <c r="F29" s="23"/>
      <c r="G29" s="24">
        <v>5</v>
      </c>
      <c r="H29" s="24">
        <v>10</v>
      </c>
      <c r="I29" s="26">
        <v>10</v>
      </c>
      <c r="J29" s="26">
        <v>10</v>
      </c>
      <c r="K29" s="26">
        <v>10</v>
      </c>
      <c r="L29" s="25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7"/>
      <c r="Z29" s="27"/>
      <c r="AA29" s="27"/>
      <c r="AB29" s="27"/>
      <c r="AC29" s="27"/>
      <c r="AD29" s="27"/>
      <c r="AE29" s="27"/>
      <c r="AF29" s="27"/>
    </row>
    <row r="30" spans="1:32" ht="17.25" thickBot="1" x14ac:dyDescent="0.3">
      <c r="A30" s="21"/>
      <c r="B30" s="21"/>
      <c r="C30" s="22"/>
      <c r="D30" s="22"/>
      <c r="E30" s="23"/>
      <c r="F30" s="23"/>
      <c r="G30" s="24"/>
      <c r="H30" s="24"/>
      <c r="I30" s="26"/>
      <c r="J30" s="26"/>
      <c r="K30" s="26"/>
      <c r="L30" s="10">
        <v>5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7"/>
      <c r="Z30" s="27"/>
      <c r="AA30" s="27"/>
      <c r="AB30" s="27"/>
      <c r="AC30" s="27"/>
      <c r="AD30" s="27"/>
      <c r="AE30" s="27"/>
      <c r="AF30" s="27"/>
    </row>
    <row r="31" spans="1:32" x14ac:dyDescent="0.25">
      <c r="A31" s="21"/>
      <c r="B31" s="21" t="s">
        <v>40</v>
      </c>
      <c r="C31" s="22" t="s">
        <v>41</v>
      </c>
      <c r="D31" s="22"/>
      <c r="E31" s="23" t="s">
        <v>42</v>
      </c>
      <c r="F31" s="23"/>
      <c r="G31" s="24">
        <v>1</v>
      </c>
      <c r="H31" s="24">
        <v>1</v>
      </c>
      <c r="I31" s="26">
        <v>1</v>
      </c>
      <c r="J31" s="26">
        <v>1</v>
      </c>
      <c r="K31" s="26">
        <v>1</v>
      </c>
      <c r="L31" s="26">
        <v>1</v>
      </c>
      <c r="M31" s="25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7"/>
      <c r="Z31" s="27"/>
      <c r="AA31" s="27"/>
      <c r="AB31" s="27"/>
      <c r="AC31" s="27"/>
      <c r="AD31" s="27"/>
      <c r="AE31" s="27"/>
      <c r="AF31" s="27"/>
    </row>
    <row r="32" spans="1:32" x14ac:dyDescent="0.25">
      <c r="A32" s="21"/>
      <c r="B32" s="21"/>
      <c r="C32" s="22" t="s">
        <v>43</v>
      </c>
      <c r="D32" s="22"/>
      <c r="E32" s="23" t="s">
        <v>42</v>
      </c>
      <c r="F32" s="23"/>
      <c r="G32" s="24">
        <v>1</v>
      </c>
      <c r="H32" s="24">
        <v>1</v>
      </c>
      <c r="I32" s="26">
        <v>1</v>
      </c>
      <c r="J32" s="26">
        <v>1</v>
      </c>
      <c r="K32" s="26">
        <v>1</v>
      </c>
      <c r="L32" s="26">
        <v>1</v>
      </c>
      <c r="M32" s="25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7"/>
      <c r="Z32" s="27"/>
      <c r="AA32" s="27"/>
      <c r="AB32" s="27"/>
      <c r="AC32" s="27"/>
      <c r="AD32" s="27"/>
      <c r="AE32" s="27"/>
      <c r="AF32" s="27"/>
    </row>
    <row r="33" spans="1:32" x14ac:dyDescent="0.25">
      <c r="A33" s="21"/>
      <c r="B33" s="21"/>
      <c r="C33" s="22" t="s">
        <v>44</v>
      </c>
      <c r="D33" s="22"/>
      <c r="E33" s="23" t="s">
        <v>42</v>
      </c>
      <c r="F33" s="23"/>
      <c r="G33" s="24">
        <v>2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5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7"/>
      <c r="Z33" s="27"/>
      <c r="AA33" s="27"/>
      <c r="AB33" s="27"/>
      <c r="AC33" s="27"/>
      <c r="AD33" s="27"/>
      <c r="AE33" s="27"/>
      <c r="AF33" s="27"/>
    </row>
    <row r="34" spans="1:32" x14ac:dyDescent="0.25">
      <c r="A34" s="21"/>
      <c r="B34" s="21"/>
      <c r="C34" s="22" t="s">
        <v>45</v>
      </c>
      <c r="D34" s="22"/>
      <c r="E34" s="23" t="s">
        <v>42</v>
      </c>
      <c r="F34" s="23"/>
      <c r="G34" s="24">
        <v>1</v>
      </c>
      <c r="H34" s="24">
        <v>1</v>
      </c>
      <c r="I34" s="26">
        <v>1</v>
      </c>
      <c r="J34" s="26">
        <v>1</v>
      </c>
      <c r="K34" s="26">
        <v>1</v>
      </c>
      <c r="L34" s="26">
        <v>1</v>
      </c>
      <c r="M34" s="25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7"/>
      <c r="Z34" s="27"/>
      <c r="AA34" s="27"/>
      <c r="AB34" s="27"/>
      <c r="AC34" s="27"/>
      <c r="AD34" s="27"/>
      <c r="AE34" s="27"/>
      <c r="AF34" s="27"/>
    </row>
    <row r="35" spans="1:32" x14ac:dyDescent="0.25">
      <c r="A35" s="21"/>
      <c r="B35" s="21"/>
      <c r="C35" s="22" t="s">
        <v>46</v>
      </c>
      <c r="D35" s="22"/>
      <c r="E35" s="23" t="s">
        <v>47</v>
      </c>
      <c r="F35" s="23"/>
      <c r="G35" s="24">
        <v>1</v>
      </c>
      <c r="H35" s="24">
        <v>1</v>
      </c>
      <c r="I35" s="26">
        <v>1</v>
      </c>
      <c r="J35" s="26">
        <v>1</v>
      </c>
      <c r="K35" s="26">
        <v>1</v>
      </c>
      <c r="L35" s="26">
        <v>1</v>
      </c>
      <c r="M35" s="25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7"/>
      <c r="Z35" s="27"/>
      <c r="AA35" s="27"/>
      <c r="AB35" s="27"/>
      <c r="AC35" s="27"/>
      <c r="AD35" s="27"/>
      <c r="AE35" s="27"/>
      <c r="AF35" s="27"/>
    </row>
    <row r="36" spans="1:32" x14ac:dyDescent="0.25">
      <c r="A36" s="21"/>
      <c r="B36" s="21"/>
      <c r="C36" s="22" t="s">
        <v>48</v>
      </c>
      <c r="D36" s="22"/>
      <c r="E36" s="23" t="s">
        <v>47</v>
      </c>
      <c r="F36" s="23"/>
      <c r="G36" s="24">
        <v>1</v>
      </c>
      <c r="H36" s="24">
        <v>1</v>
      </c>
      <c r="I36" s="26">
        <v>1</v>
      </c>
      <c r="J36" s="26">
        <v>1</v>
      </c>
      <c r="K36" s="26">
        <v>1</v>
      </c>
      <c r="L36" s="26">
        <v>1</v>
      </c>
      <c r="M36" s="25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7"/>
      <c r="Z36" s="27"/>
      <c r="AA36" s="27"/>
      <c r="AB36" s="27"/>
      <c r="AC36" s="27"/>
      <c r="AD36" s="27"/>
      <c r="AE36" s="27"/>
      <c r="AF36" s="27"/>
    </row>
    <row r="37" spans="1:32" x14ac:dyDescent="0.25">
      <c r="A37" s="21"/>
      <c r="B37" s="21"/>
      <c r="C37" s="22" t="s">
        <v>49</v>
      </c>
      <c r="D37" s="22"/>
      <c r="E37" s="23" t="s">
        <v>47</v>
      </c>
      <c r="F37" s="23"/>
      <c r="G37" s="24">
        <v>2</v>
      </c>
      <c r="H37" s="24">
        <v>2</v>
      </c>
      <c r="I37" s="26">
        <v>2</v>
      </c>
      <c r="J37" s="26">
        <v>2</v>
      </c>
      <c r="K37" s="26">
        <v>2</v>
      </c>
      <c r="L37" s="26">
        <v>2</v>
      </c>
      <c r="M37" s="25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7"/>
      <c r="Z37" s="27"/>
      <c r="AA37" s="27"/>
      <c r="AB37" s="27"/>
      <c r="AC37" s="27"/>
      <c r="AD37" s="27"/>
      <c r="AE37" s="27"/>
      <c r="AF37" s="27"/>
    </row>
    <row r="38" spans="1:32" x14ac:dyDescent="0.25">
      <c r="A38" s="21"/>
      <c r="B38" s="21"/>
      <c r="C38" s="22" t="s">
        <v>50</v>
      </c>
      <c r="D38" s="22"/>
      <c r="E38" s="23" t="s">
        <v>25</v>
      </c>
      <c r="F38" s="23"/>
      <c r="G38" s="24">
        <v>4</v>
      </c>
      <c r="H38" s="24">
        <v>10</v>
      </c>
      <c r="I38" s="26">
        <v>10</v>
      </c>
      <c r="J38" s="26">
        <v>10</v>
      </c>
      <c r="K38" s="26">
        <v>10</v>
      </c>
      <c r="L38" s="26">
        <v>10</v>
      </c>
      <c r="M38" s="26">
        <v>10</v>
      </c>
      <c r="N38" s="25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7"/>
      <c r="Z38" s="27"/>
      <c r="AA38" s="27"/>
      <c r="AB38" s="27"/>
      <c r="AC38" s="27"/>
      <c r="AD38" s="27"/>
      <c r="AE38" s="27"/>
      <c r="AF38" s="27"/>
    </row>
    <row r="39" spans="1:32" ht="17.25" thickBot="1" x14ac:dyDescent="0.3">
      <c r="A39" s="21"/>
      <c r="B39" s="21"/>
      <c r="C39" s="22"/>
      <c r="D39" s="22"/>
      <c r="E39" s="23"/>
      <c r="F39" s="23"/>
      <c r="G39" s="24"/>
      <c r="H39" s="24"/>
      <c r="I39" s="26"/>
      <c r="J39" s="26"/>
      <c r="K39" s="26"/>
      <c r="L39" s="26"/>
      <c r="M39" s="26"/>
      <c r="N39" s="10">
        <v>6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7"/>
      <c r="Z39" s="27"/>
      <c r="AA39" s="27"/>
      <c r="AB39" s="27"/>
      <c r="AC39" s="27"/>
      <c r="AD39" s="27"/>
      <c r="AE39" s="27"/>
      <c r="AF39" s="27"/>
    </row>
    <row r="40" spans="1:32" x14ac:dyDescent="0.25">
      <c r="A40" s="21"/>
      <c r="B40" s="21" t="s">
        <v>51</v>
      </c>
      <c r="C40" s="22" t="s">
        <v>52</v>
      </c>
      <c r="D40" s="22"/>
      <c r="E40" s="23" t="s">
        <v>27</v>
      </c>
      <c r="F40" s="23"/>
      <c r="G40" s="24">
        <v>2</v>
      </c>
      <c r="H40" s="24">
        <v>2</v>
      </c>
      <c r="I40" s="26">
        <v>2</v>
      </c>
      <c r="J40" s="26">
        <v>2</v>
      </c>
      <c r="K40" s="26">
        <v>2</v>
      </c>
      <c r="L40" s="26">
        <v>2</v>
      </c>
      <c r="M40" s="26">
        <v>2</v>
      </c>
      <c r="N40" s="26">
        <v>2</v>
      </c>
      <c r="O40" s="25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7"/>
      <c r="Z40" s="27"/>
      <c r="AA40" s="27"/>
      <c r="AB40" s="27"/>
      <c r="AC40" s="27"/>
      <c r="AD40" s="27"/>
      <c r="AE40" s="27"/>
      <c r="AF40" s="27"/>
    </row>
    <row r="41" spans="1:32" x14ac:dyDescent="0.25">
      <c r="A41" s="21"/>
      <c r="B41" s="21"/>
      <c r="C41" s="22" t="s">
        <v>53</v>
      </c>
      <c r="D41" s="22"/>
      <c r="E41" s="23" t="s">
        <v>27</v>
      </c>
      <c r="F41" s="23"/>
      <c r="G41" s="24">
        <v>2</v>
      </c>
      <c r="H41" s="24">
        <v>2</v>
      </c>
      <c r="I41" s="26">
        <v>2</v>
      </c>
      <c r="J41" s="26">
        <v>2</v>
      </c>
      <c r="K41" s="26">
        <v>2</v>
      </c>
      <c r="L41" s="26">
        <v>2</v>
      </c>
      <c r="M41" s="26">
        <v>2</v>
      </c>
      <c r="N41" s="26">
        <v>2</v>
      </c>
      <c r="O41" s="25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7"/>
      <c r="Z41" s="27"/>
      <c r="AA41" s="27"/>
      <c r="AB41" s="27"/>
      <c r="AC41" s="27"/>
      <c r="AD41" s="27"/>
      <c r="AE41" s="27"/>
      <c r="AF41" s="27"/>
    </row>
    <row r="42" spans="1:32" x14ac:dyDescent="0.25">
      <c r="A42" s="21"/>
      <c r="B42" s="21"/>
      <c r="C42" s="22" t="s">
        <v>54</v>
      </c>
      <c r="D42" s="22"/>
      <c r="E42" s="23" t="s">
        <v>27</v>
      </c>
      <c r="F42" s="23"/>
      <c r="G42" s="24">
        <v>4</v>
      </c>
      <c r="H42" s="24">
        <v>4</v>
      </c>
      <c r="I42" s="24">
        <v>4</v>
      </c>
      <c r="J42" s="24">
        <v>4</v>
      </c>
      <c r="K42" s="24">
        <v>4</v>
      </c>
      <c r="L42" s="24">
        <v>4</v>
      </c>
      <c r="M42" s="24">
        <v>4</v>
      </c>
      <c r="N42" s="24">
        <v>4</v>
      </c>
      <c r="O42" s="25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7"/>
      <c r="Z42" s="27"/>
      <c r="AA42" s="27"/>
      <c r="AB42" s="27"/>
      <c r="AC42" s="27"/>
      <c r="AD42" s="27"/>
      <c r="AE42" s="27"/>
      <c r="AF42" s="27"/>
    </row>
    <row r="43" spans="1:32" x14ac:dyDescent="0.25">
      <c r="A43" s="21"/>
      <c r="B43" s="21"/>
      <c r="C43" s="22" t="s">
        <v>55</v>
      </c>
      <c r="D43" s="22"/>
      <c r="E43" s="23" t="s">
        <v>27</v>
      </c>
      <c r="F43" s="23"/>
      <c r="G43" s="24">
        <v>2</v>
      </c>
      <c r="H43" s="24">
        <v>2</v>
      </c>
      <c r="I43" s="26">
        <v>2</v>
      </c>
      <c r="J43" s="26">
        <v>2</v>
      </c>
      <c r="K43" s="26">
        <v>2</v>
      </c>
      <c r="L43" s="26">
        <v>2</v>
      </c>
      <c r="M43" s="26">
        <v>2</v>
      </c>
      <c r="N43" s="26">
        <v>2</v>
      </c>
      <c r="O43" s="26">
        <v>2</v>
      </c>
      <c r="P43" s="25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7"/>
      <c r="Z43" s="27"/>
      <c r="AA43" s="27"/>
      <c r="AB43" s="27"/>
      <c r="AC43" s="27"/>
      <c r="AD43" s="27"/>
      <c r="AE43" s="27"/>
      <c r="AF43" s="27"/>
    </row>
    <row r="44" spans="1:32" x14ac:dyDescent="0.25">
      <c r="A44" s="21"/>
      <c r="B44" s="21"/>
      <c r="C44" s="22" t="s">
        <v>56</v>
      </c>
      <c r="D44" s="22"/>
      <c r="E44" s="23" t="s">
        <v>57</v>
      </c>
      <c r="F44" s="23"/>
      <c r="G44" s="24">
        <v>1</v>
      </c>
      <c r="H44" s="24">
        <v>1</v>
      </c>
      <c r="I44" s="24">
        <v>1</v>
      </c>
      <c r="J44" s="24">
        <v>1</v>
      </c>
      <c r="K44" s="24">
        <v>1</v>
      </c>
      <c r="L44" s="24">
        <v>1</v>
      </c>
      <c r="M44" s="24">
        <v>1</v>
      </c>
      <c r="N44" s="24">
        <v>1</v>
      </c>
      <c r="O44" s="24">
        <v>1</v>
      </c>
      <c r="P44" s="25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7"/>
      <c r="Z44" s="27"/>
      <c r="AA44" s="27"/>
      <c r="AB44" s="27"/>
      <c r="AC44" s="27"/>
      <c r="AD44" s="27"/>
      <c r="AE44" s="27"/>
      <c r="AF44" s="27"/>
    </row>
    <row r="45" spans="1:32" x14ac:dyDescent="0.25">
      <c r="A45" s="21"/>
      <c r="B45" s="21"/>
      <c r="C45" s="22" t="s">
        <v>58</v>
      </c>
      <c r="D45" s="22"/>
      <c r="E45" s="23" t="s">
        <v>57</v>
      </c>
      <c r="F45" s="23"/>
      <c r="G45" s="24">
        <v>1</v>
      </c>
      <c r="H45" s="24">
        <v>1</v>
      </c>
      <c r="I45" s="24">
        <v>1</v>
      </c>
      <c r="J45" s="24">
        <v>1</v>
      </c>
      <c r="K45" s="24">
        <v>1</v>
      </c>
      <c r="L45" s="24">
        <v>1</v>
      </c>
      <c r="M45" s="24">
        <v>1</v>
      </c>
      <c r="N45" s="24">
        <v>1</v>
      </c>
      <c r="O45" s="24">
        <v>1</v>
      </c>
      <c r="P45" s="25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7"/>
      <c r="Z45" s="27"/>
      <c r="AA45" s="27"/>
      <c r="AB45" s="27"/>
      <c r="AC45" s="27"/>
      <c r="AD45" s="27"/>
      <c r="AE45" s="27"/>
      <c r="AF45" s="27"/>
    </row>
    <row r="46" spans="1:32" x14ac:dyDescent="0.25">
      <c r="A46" s="21"/>
      <c r="B46" s="21"/>
      <c r="C46" s="22" t="s">
        <v>59</v>
      </c>
      <c r="D46" s="22"/>
      <c r="E46" s="23" t="s">
        <v>27</v>
      </c>
      <c r="F46" s="23"/>
      <c r="G46" s="24">
        <v>2.5</v>
      </c>
      <c r="H46" s="24">
        <v>2</v>
      </c>
      <c r="I46" s="26">
        <v>2</v>
      </c>
      <c r="J46" s="26">
        <v>2</v>
      </c>
      <c r="K46" s="26">
        <v>2</v>
      </c>
      <c r="L46" s="26">
        <v>2</v>
      </c>
      <c r="M46" s="26">
        <v>2</v>
      </c>
      <c r="N46" s="26">
        <v>2</v>
      </c>
      <c r="O46" s="26">
        <v>2</v>
      </c>
      <c r="P46" s="25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7"/>
      <c r="Z46" s="27"/>
      <c r="AA46" s="27"/>
      <c r="AB46" s="27"/>
      <c r="AC46" s="27"/>
      <c r="AD46" s="27"/>
      <c r="AE46" s="27"/>
      <c r="AF46" s="27"/>
    </row>
    <row r="47" spans="1:32" x14ac:dyDescent="0.25">
      <c r="A47" s="21"/>
      <c r="B47" s="21"/>
      <c r="C47" s="30"/>
      <c r="D47" s="31"/>
      <c r="E47" s="30"/>
      <c r="F47" s="31"/>
      <c r="G47" s="24"/>
      <c r="H47" s="24"/>
      <c r="I47" s="26"/>
      <c r="J47" s="26"/>
      <c r="K47" s="26"/>
      <c r="L47" s="26"/>
      <c r="M47" s="26"/>
      <c r="N47" s="26"/>
      <c r="O47" s="26"/>
      <c r="P47" s="33">
        <v>0.5</v>
      </c>
      <c r="Q47" s="26"/>
      <c r="R47" s="26"/>
      <c r="S47" s="26"/>
      <c r="T47" s="26"/>
      <c r="U47" s="26"/>
      <c r="V47" s="26"/>
      <c r="W47" s="26"/>
      <c r="X47" s="26"/>
      <c r="Y47" s="27"/>
      <c r="Z47" s="27"/>
      <c r="AA47" s="27"/>
      <c r="AB47" s="27"/>
      <c r="AC47" s="27"/>
      <c r="AD47" s="27"/>
      <c r="AE47" s="27"/>
      <c r="AF47" s="27"/>
    </row>
    <row r="48" spans="1:32" x14ac:dyDescent="0.25">
      <c r="A48" s="21"/>
      <c r="B48" s="21"/>
      <c r="C48" s="22" t="s">
        <v>60</v>
      </c>
      <c r="D48" s="22"/>
      <c r="E48" s="23" t="s">
        <v>27</v>
      </c>
      <c r="F48" s="23"/>
      <c r="G48" s="24">
        <v>2</v>
      </c>
      <c r="H48" s="24">
        <v>2</v>
      </c>
      <c r="I48" s="26">
        <v>2</v>
      </c>
      <c r="J48" s="26">
        <v>2</v>
      </c>
      <c r="K48" s="26">
        <v>2</v>
      </c>
      <c r="L48" s="26">
        <v>2</v>
      </c>
      <c r="M48" s="26">
        <v>2</v>
      </c>
      <c r="N48" s="26">
        <v>2</v>
      </c>
      <c r="O48" s="26">
        <v>2</v>
      </c>
      <c r="P48" s="25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7"/>
      <c r="Z48" s="27"/>
      <c r="AA48" s="27"/>
      <c r="AB48" s="27"/>
      <c r="AC48" s="27"/>
      <c r="AD48" s="27"/>
      <c r="AE48" s="27"/>
      <c r="AF48" s="27"/>
    </row>
    <row r="49" spans="1:32" x14ac:dyDescent="0.25">
      <c r="A49" s="21"/>
      <c r="B49" s="21"/>
      <c r="C49" s="22" t="s">
        <v>61</v>
      </c>
      <c r="D49" s="22"/>
      <c r="E49" s="23" t="s">
        <v>27</v>
      </c>
      <c r="F49" s="23"/>
      <c r="G49" s="24">
        <v>2</v>
      </c>
      <c r="H49" s="24">
        <v>2</v>
      </c>
      <c r="I49" s="24">
        <v>2</v>
      </c>
      <c r="J49" s="24">
        <v>2</v>
      </c>
      <c r="K49" s="24">
        <v>2</v>
      </c>
      <c r="L49" s="24">
        <v>2</v>
      </c>
      <c r="M49" s="24">
        <v>2</v>
      </c>
      <c r="N49" s="24">
        <v>2</v>
      </c>
      <c r="O49" s="24">
        <v>2</v>
      </c>
      <c r="P49" s="24">
        <v>2</v>
      </c>
      <c r="Q49" s="25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7"/>
      <c r="Z49" s="27"/>
      <c r="AA49" s="27"/>
      <c r="AB49" s="27"/>
      <c r="AC49" s="27"/>
      <c r="AD49" s="27"/>
      <c r="AE49" s="27"/>
      <c r="AF49" s="27"/>
    </row>
    <row r="50" spans="1:32" x14ac:dyDescent="0.25">
      <c r="A50" s="21"/>
      <c r="B50" s="21"/>
      <c r="C50" s="22" t="s">
        <v>62</v>
      </c>
      <c r="D50" s="22"/>
      <c r="E50" s="23" t="s">
        <v>27</v>
      </c>
      <c r="F50" s="23"/>
      <c r="G50" s="24">
        <v>2</v>
      </c>
      <c r="H50" s="24">
        <v>2</v>
      </c>
      <c r="I50" s="24">
        <v>2</v>
      </c>
      <c r="J50" s="24">
        <v>2</v>
      </c>
      <c r="K50" s="24">
        <v>2</v>
      </c>
      <c r="L50" s="24">
        <v>2</v>
      </c>
      <c r="M50" s="24">
        <v>2</v>
      </c>
      <c r="N50" s="24">
        <v>2</v>
      </c>
      <c r="O50" s="24">
        <v>2</v>
      </c>
      <c r="P50" s="24">
        <v>2</v>
      </c>
      <c r="Q50" s="25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7"/>
      <c r="Z50" s="27"/>
      <c r="AA50" s="27"/>
      <c r="AB50" s="27"/>
      <c r="AC50" s="27"/>
      <c r="AD50" s="27"/>
      <c r="AE50" s="27"/>
      <c r="AF50" s="27"/>
    </row>
    <row r="51" spans="1:32" x14ac:dyDescent="0.25">
      <c r="A51" s="21"/>
      <c r="B51" s="21"/>
      <c r="C51" s="22" t="s">
        <v>63</v>
      </c>
      <c r="D51" s="22"/>
      <c r="E51" s="23" t="s">
        <v>27</v>
      </c>
      <c r="F51" s="23"/>
      <c r="G51" s="24">
        <v>4</v>
      </c>
      <c r="H51" s="24">
        <v>4</v>
      </c>
      <c r="I51" s="26">
        <v>4</v>
      </c>
      <c r="J51" s="26">
        <v>4</v>
      </c>
      <c r="K51" s="26">
        <v>4</v>
      </c>
      <c r="L51" s="26">
        <v>4</v>
      </c>
      <c r="M51" s="26">
        <v>4</v>
      </c>
      <c r="N51" s="26">
        <v>4</v>
      </c>
      <c r="O51" s="26">
        <v>4</v>
      </c>
      <c r="P51" s="26">
        <v>4</v>
      </c>
      <c r="Q51" s="25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7"/>
      <c r="Z51" s="27"/>
      <c r="AA51" s="27"/>
      <c r="AB51" s="27"/>
      <c r="AC51" s="27"/>
      <c r="AD51" s="27"/>
      <c r="AE51" s="27"/>
      <c r="AF51" s="27"/>
    </row>
    <row r="52" spans="1:32" x14ac:dyDescent="0.25">
      <c r="A52" s="21"/>
      <c r="B52" s="21"/>
      <c r="C52" s="22" t="s">
        <v>64</v>
      </c>
      <c r="D52" s="22"/>
      <c r="E52" s="23" t="s">
        <v>27</v>
      </c>
      <c r="F52" s="23"/>
      <c r="G52" s="24">
        <v>4</v>
      </c>
      <c r="H52" s="24">
        <v>4</v>
      </c>
      <c r="I52" s="26">
        <v>4</v>
      </c>
      <c r="J52" s="26">
        <v>4</v>
      </c>
      <c r="K52" s="26">
        <v>4</v>
      </c>
      <c r="L52" s="26">
        <v>4</v>
      </c>
      <c r="M52" s="26">
        <v>4</v>
      </c>
      <c r="N52" s="26">
        <v>4</v>
      </c>
      <c r="O52" s="26">
        <v>4</v>
      </c>
      <c r="P52" s="26">
        <v>4</v>
      </c>
      <c r="Q52" s="26">
        <v>4</v>
      </c>
      <c r="R52" s="25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7"/>
      <c r="Z52" s="27"/>
      <c r="AA52" s="27"/>
      <c r="AB52" s="27"/>
      <c r="AC52" s="27"/>
      <c r="AD52" s="27"/>
      <c r="AE52" s="27"/>
      <c r="AF52" s="27"/>
    </row>
    <row r="53" spans="1:32" x14ac:dyDescent="0.25">
      <c r="A53" s="21"/>
      <c r="B53" s="21"/>
      <c r="C53" s="22" t="s">
        <v>65</v>
      </c>
      <c r="D53" s="22"/>
      <c r="E53" s="23" t="s">
        <v>27</v>
      </c>
      <c r="F53" s="23"/>
      <c r="G53" s="24">
        <v>3</v>
      </c>
      <c r="H53" s="24">
        <v>3</v>
      </c>
      <c r="I53" s="24">
        <v>3</v>
      </c>
      <c r="J53" s="24">
        <v>3</v>
      </c>
      <c r="K53" s="24">
        <v>3</v>
      </c>
      <c r="L53" s="24">
        <v>3</v>
      </c>
      <c r="M53" s="24">
        <v>3</v>
      </c>
      <c r="N53" s="24">
        <v>3</v>
      </c>
      <c r="O53" s="24">
        <v>3</v>
      </c>
      <c r="P53" s="24">
        <v>3</v>
      </c>
      <c r="Q53" s="24">
        <v>3</v>
      </c>
      <c r="R53" s="24">
        <v>3</v>
      </c>
      <c r="S53" s="25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7"/>
      <c r="Z53" s="27"/>
      <c r="AA53" s="27"/>
      <c r="AB53" s="27"/>
      <c r="AC53" s="27"/>
      <c r="AD53" s="27"/>
      <c r="AE53" s="27"/>
      <c r="AF53" s="27"/>
    </row>
    <row r="54" spans="1:32" x14ac:dyDescent="0.25">
      <c r="A54" s="21"/>
      <c r="B54" s="21"/>
      <c r="C54" s="22" t="s">
        <v>66</v>
      </c>
      <c r="D54" s="22"/>
      <c r="E54" s="23" t="s">
        <v>27</v>
      </c>
      <c r="F54" s="23"/>
      <c r="G54" s="24">
        <v>2.5</v>
      </c>
      <c r="H54" s="24">
        <v>3</v>
      </c>
      <c r="I54" s="24">
        <v>3</v>
      </c>
      <c r="J54" s="24">
        <v>3</v>
      </c>
      <c r="K54" s="24">
        <v>3</v>
      </c>
      <c r="L54" s="24">
        <v>3</v>
      </c>
      <c r="M54" s="24">
        <v>3</v>
      </c>
      <c r="N54" s="24">
        <v>3</v>
      </c>
      <c r="O54" s="24">
        <v>3</v>
      </c>
      <c r="P54" s="24">
        <v>3</v>
      </c>
      <c r="Q54" s="24">
        <v>3</v>
      </c>
      <c r="R54" s="24">
        <v>3</v>
      </c>
      <c r="S54" s="25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7"/>
      <c r="Z54" s="27"/>
      <c r="AA54" s="27"/>
      <c r="AB54" s="27"/>
      <c r="AC54" s="27"/>
      <c r="AD54" s="27"/>
      <c r="AE54" s="27"/>
      <c r="AF54" s="27"/>
    </row>
    <row r="55" spans="1:32" x14ac:dyDescent="0.25">
      <c r="A55" s="21"/>
      <c r="B55" s="21"/>
      <c r="C55" s="30"/>
      <c r="D55" s="31"/>
      <c r="E55" s="30"/>
      <c r="F55" s="31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32">
        <v>0.5</v>
      </c>
      <c r="T55" s="26"/>
      <c r="U55" s="26"/>
      <c r="V55" s="26"/>
      <c r="W55" s="26"/>
      <c r="X55" s="26"/>
      <c r="Y55" s="27"/>
      <c r="Z55" s="27"/>
      <c r="AA55" s="27"/>
      <c r="AB55" s="27"/>
      <c r="AC55" s="27"/>
      <c r="AD55" s="27"/>
      <c r="AE55" s="27"/>
      <c r="AF55" s="27"/>
    </row>
    <row r="56" spans="1:32" x14ac:dyDescent="0.25">
      <c r="A56" s="21"/>
      <c r="B56" s="21"/>
      <c r="C56" s="22" t="s">
        <v>67</v>
      </c>
      <c r="D56" s="22"/>
      <c r="E56" s="23" t="s">
        <v>57</v>
      </c>
      <c r="F56" s="23"/>
      <c r="G56" s="24">
        <v>2</v>
      </c>
      <c r="H56" s="24">
        <v>2</v>
      </c>
      <c r="I56" s="26">
        <v>2</v>
      </c>
      <c r="J56" s="26">
        <v>2</v>
      </c>
      <c r="K56" s="26">
        <v>2</v>
      </c>
      <c r="L56" s="26">
        <v>2</v>
      </c>
      <c r="M56" s="26">
        <v>2</v>
      </c>
      <c r="N56" s="26">
        <v>2</v>
      </c>
      <c r="O56" s="26">
        <v>2</v>
      </c>
      <c r="P56" s="26">
        <v>2</v>
      </c>
      <c r="Q56" s="25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7"/>
      <c r="Z56" s="27"/>
      <c r="AA56" s="27"/>
      <c r="AB56" s="27"/>
      <c r="AC56" s="27"/>
      <c r="AD56" s="27"/>
      <c r="AE56" s="27"/>
      <c r="AF56" s="27"/>
    </row>
    <row r="57" spans="1:32" x14ac:dyDescent="0.25">
      <c r="A57" s="21"/>
      <c r="B57" s="21"/>
      <c r="C57" s="22" t="s">
        <v>68</v>
      </c>
      <c r="D57" s="22"/>
      <c r="E57" s="23" t="s">
        <v>57</v>
      </c>
      <c r="F57" s="23"/>
      <c r="G57" s="24">
        <v>2</v>
      </c>
      <c r="H57" s="24">
        <v>2</v>
      </c>
      <c r="I57" s="26">
        <v>2</v>
      </c>
      <c r="J57" s="26">
        <v>2</v>
      </c>
      <c r="K57" s="26">
        <v>2</v>
      </c>
      <c r="L57" s="26">
        <v>2</v>
      </c>
      <c r="M57" s="26">
        <v>2</v>
      </c>
      <c r="N57" s="26">
        <v>2</v>
      </c>
      <c r="O57" s="26">
        <v>2</v>
      </c>
      <c r="P57" s="26">
        <v>2</v>
      </c>
      <c r="Q57" s="25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7"/>
      <c r="Z57" s="27"/>
      <c r="AA57" s="27"/>
      <c r="AB57" s="27"/>
      <c r="AC57" s="27"/>
      <c r="AD57" s="27"/>
      <c r="AE57" s="27"/>
      <c r="AF57" s="27"/>
    </row>
    <row r="58" spans="1:32" x14ac:dyDescent="0.25">
      <c r="A58" s="21"/>
      <c r="B58" s="21"/>
      <c r="C58" s="22" t="s">
        <v>69</v>
      </c>
      <c r="D58" s="22"/>
      <c r="E58" s="34" t="s">
        <v>70</v>
      </c>
      <c r="F58" s="34"/>
      <c r="G58" s="24">
        <v>4</v>
      </c>
      <c r="H58" s="24">
        <v>10</v>
      </c>
      <c r="I58" s="26">
        <v>10</v>
      </c>
      <c r="J58" s="26">
        <v>10</v>
      </c>
      <c r="K58" s="26">
        <v>10</v>
      </c>
      <c r="L58" s="26">
        <v>10</v>
      </c>
      <c r="M58" s="26">
        <v>10</v>
      </c>
      <c r="N58" s="26">
        <v>10</v>
      </c>
      <c r="O58" s="26">
        <v>10</v>
      </c>
      <c r="P58" s="26">
        <v>10</v>
      </c>
      <c r="Q58" s="26">
        <v>10</v>
      </c>
      <c r="R58" s="26">
        <v>10</v>
      </c>
      <c r="S58" s="26">
        <v>10</v>
      </c>
      <c r="T58" s="25">
        <v>0</v>
      </c>
      <c r="U58" s="26">
        <v>0</v>
      </c>
      <c r="V58" s="26">
        <v>0</v>
      </c>
      <c r="W58" s="26">
        <v>0</v>
      </c>
      <c r="X58" s="26">
        <v>0</v>
      </c>
      <c r="Y58" s="35"/>
      <c r="Z58" s="35"/>
      <c r="AA58" s="35"/>
      <c r="AB58" s="35"/>
      <c r="AC58" s="35"/>
      <c r="AD58" s="35"/>
      <c r="AE58" s="35"/>
      <c r="AF58" s="35"/>
    </row>
    <row r="59" spans="1:32" x14ac:dyDescent="0.25">
      <c r="A59" s="21"/>
      <c r="B59" s="21"/>
      <c r="C59" s="23"/>
      <c r="D59" s="23"/>
      <c r="E59" s="23"/>
      <c r="F59" s="23"/>
      <c r="G59" s="24"/>
      <c r="H59" s="24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32">
        <v>6</v>
      </c>
      <c r="U59" s="26"/>
      <c r="V59" s="26"/>
      <c r="W59" s="26"/>
      <c r="X59" s="26"/>
      <c r="Y59" s="35"/>
      <c r="Z59" s="35"/>
      <c r="AA59" s="35"/>
      <c r="AB59" s="35"/>
      <c r="AC59" s="35"/>
      <c r="AD59" s="35"/>
      <c r="AE59" s="35"/>
      <c r="AF59" s="35"/>
    </row>
    <row r="60" spans="1:32" x14ac:dyDescent="0.25">
      <c r="A60" s="21"/>
      <c r="B60" s="21" t="s">
        <v>71</v>
      </c>
      <c r="C60" s="22" t="s">
        <v>72</v>
      </c>
      <c r="D60" s="22"/>
      <c r="E60" s="23" t="s">
        <v>42</v>
      </c>
      <c r="F60" s="23"/>
      <c r="G60" s="24">
        <v>1</v>
      </c>
      <c r="H60" s="24">
        <v>1</v>
      </c>
      <c r="I60" s="26">
        <v>1</v>
      </c>
      <c r="J60" s="26">
        <v>1</v>
      </c>
      <c r="K60" s="26">
        <v>1</v>
      </c>
      <c r="L60" s="26">
        <v>1</v>
      </c>
      <c r="M60" s="26">
        <v>1</v>
      </c>
      <c r="N60" s="26">
        <v>1</v>
      </c>
      <c r="O60" s="26">
        <v>1</v>
      </c>
      <c r="P60" s="26">
        <v>1</v>
      </c>
      <c r="Q60" s="26">
        <v>1</v>
      </c>
      <c r="R60" s="26">
        <v>1</v>
      </c>
      <c r="S60" s="26">
        <v>1</v>
      </c>
      <c r="T60" s="25">
        <v>0</v>
      </c>
      <c r="U60" s="26">
        <v>0</v>
      </c>
      <c r="V60" s="26">
        <v>0</v>
      </c>
      <c r="W60" s="26">
        <v>0</v>
      </c>
      <c r="X60" s="26">
        <v>0</v>
      </c>
      <c r="Y60" s="35"/>
      <c r="Z60" s="35"/>
      <c r="AA60" s="35"/>
      <c r="AB60" s="35"/>
      <c r="AC60" s="35"/>
      <c r="AD60" s="35"/>
      <c r="AE60" s="35"/>
      <c r="AF60" s="35"/>
    </row>
    <row r="61" spans="1:32" x14ac:dyDescent="0.25">
      <c r="A61" s="21"/>
      <c r="B61" s="21"/>
      <c r="C61" s="22" t="s">
        <v>73</v>
      </c>
      <c r="D61" s="22"/>
      <c r="E61" s="23" t="s">
        <v>42</v>
      </c>
      <c r="F61" s="23"/>
      <c r="G61" s="24">
        <v>1</v>
      </c>
      <c r="H61" s="24">
        <v>1</v>
      </c>
      <c r="I61" s="26">
        <v>1</v>
      </c>
      <c r="J61" s="26">
        <v>1</v>
      </c>
      <c r="K61" s="26">
        <v>1</v>
      </c>
      <c r="L61" s="26">
        <v>1</v>
      </c>
      <c r="M61" s="26">
        <v>1</v>
      </c>
      <c r="N61" s="26">
        <v>1</v>
      </c>
      <c r="O61" s="26">
        <v>1</v>
      </c>
      <c r="P61" s="26">
        <v>1</v>
      </c>
      <c r="Q61" s="26">
        <v>1</v>
      </c>
      <c r="R61" s="26">
        <v>1</v>
      </c>
      <c r="S61" s="26">
        <v>1</v>
      </c>
      <c r="T61" s="25">
        <v>0</v>
      </c>
      <c r="U61" s="26">
        <v>0</v>
      </c>
      <c r="V61" s="26">
        <v>0</v>
      </c>
      <c r="W61" s="26">
        <v>0</v>
      </c>
      <c r="X61" s="26">
        <v>0</v>
      </c>
      <c r="Y61" s="35"/>
      <c r="Z61" s="35"/>
      <c r="AA61" s="35"/>
      <c r="AB61" s="35"/>
      <c r="AC61" s="35"/>
      <c r="AD61" s="35"/>
      <c r="AE61" s="35"/>
      <c r="AF61" s="35"/>
    </row>
    <row r="62" spans="1:32" x14ac:dyDescent="0.25">
      <c r="A62" s="21"/>
      <c r="B62" s="21"/>
      <c r="C62" s="22" t="s">
        <v>74</v>
      </c>
      <c r="D62" s="22"/>
      <c r="E62" s="23" t="s">
        <v>42</v>
      </c>
      <c r="F62" s="23"/>
      <c r="G62" s="24">
        <v>1</v>
      </c>
      <c r="H62" s="24">
        <v>1</v>
      </c>
      <c r="I62" s="26">
        <v>1</v>
      </c>
      <c r="J62" s="26">
        <v>1</v>
      </c>
      <c r="K62" s="26">
        <v>1</v>
      </c>
      <c r="L62" s="26">
        <v>1</v>
      </c>
      <c r="M62" s="26">
        <v>1</v>
      </c>
      <c r="N62" s="26">
        <v>1</v>
      </c>
      <c r="O62" s="26">
        <v>1</v>
      </c>
      <c r="P62" s="26">
        <v>1</v>
      </c>
      <c r="Q62" s="26">
        <v>1</v>
      </c>
      <c r="R62" s="26">
        <v>1</v>
      </c>
      <c r="S62" s="26">
        <v>1</v>
      </c>
      <c r="T62" s="25">
        <v>0</v>
      </c>
      <c r="U62" s="26">
        <v>0</v>
      </c>
      <c r="V62" s="26">
        <v>0</v>
      </c>
      <c r="W62" s="26">
        <v>0</v>
      </c>
      <c r="X62" s="26">
        <v>0</v>
      </c>
      <c r="Y62" s="35"/>
      <c r="Z62" s="35"/>
      <c r="AA62" s="35"/>
      <c r="AB62" s="35"/>
      <c r="AC62" s="35"/>
      <c r="AD62" s="35"/>
      <c r="AE62" s="35"/>
      <c r="AF62" s="35"/>
    </row>
    <row r="63" spans="1:32" x14ac:dyDescent="0.25">
      <c r="A63" s="21"/>
      <c r="B63" s="21"/>
      <c r="C63" s="22" t="s">
        <v>75</v>
      </c>
      <c r="D63" s="22"/>
      <c r="E63" s="23" t="s">
        <v>42</v>
      </c>
      <c r="F63" s="23"/>
      <c r="G63" s="24">
        <v>1</v>
      </c>
      <c r="H63" s="24">
        <v>1</v>
      </c>
      <c r="I63" s="26">
        <v>1</v>
      </c>
      <c r="J63" s="26">
        <v>1</v>
      </c>
      <c r="K63" s="26">
        <v>1</v>
      </c>
      <c r="L63" s="26">
        <v>1</v>
      </c>
      <c r="M63" s="26">
        <v>1</v>
      </c>
      <c r="N63" s="26">
        <v>1</v>
      </c>
      <c r="O63" s="26">
        <v>1</v>
      </c>
      <c r="P63" s="26">
        <v>1</v>
      </c>
      <c r="Q63" s="26">
        <v>1</v>
      </c>
      <c r="R63" s="26">
        <v>1</v>
      </c>
      <c r="S63" s="26">
        <v>1</v>
      </c>
      <c r="T63" s="25">
        <v>0</v>
      </c>
      <c r="U63" s="26">
        <v>0</v>
      </c>
      <c r="V63" s="26">
        <v>0</v>
      </c>
      <c r="W63" s="26">
        <v>0</v>
      </c>
      <c r="X63" s="26">
        <v>0</v>
      </c>
      <c r="Y63" s="35"/>
      <c r="Z63" s="35"/>
      <c r="AA63" s="35"/>
      <c r="AB63" s="35"/>
      <c r="AC63" s="35"/>
      <c r="AD63" s="35"/>
      <c r="AE63" s="35"/>
      <c r="AF63" s="35"/>
    </row>
    <row r="64" spans="1:32" x14ac:dyDescent="0.25">
      <c r="A64" s="21"/>
      <c r="B64" s="21"/>
      <c r="C64" s="22" t="s">
        <v>76</v>
      </c>
      <c r="D64" s="22"/>
      <c r="E64" s="23" t="s">
        <v>47</v>
      </c>
      <c r="F64" s="23"/>
      <c r="G64" s="24">
        <v>1</v>
      </c>
      <c r="H64" s="24">
        <v>1</v>
      </c>
      <c r="I64" s="26">
        <v>1</v>
      </c>
      <c r="J64" s="26">
        <v>1</v>
      </c>
      <c r="K64" s="26">
        <v>1</v>
      </c>
      <c r="L64" s="26">
        <v>1</v>
      </c>
      <c r="M64" s="26">
        <v>1</v>
      </c>
      <c r="N64" s="26">
        <v>1</v>
      </c>
      <c r="O64" s="26">
        <v>1</v>
      </c>
      <c r="P64" s="26">
        <v>1</v>
      </c>
      <c r="Q64" s="26">
        <v>1</v>
      </c>
      <c r="R64" s="26">
        <v>1</v>
      </c>
      <c r="S64" s="26">
        <v>1</v>
      </c>
      <c r="T64" s="25">
        <v>0</v>
      </c>
      <c r="U64" s="26">
        <v>0</v>
      </c>
      <c r="V64" s="26">
        <v>0</v>
      </c>
      <c r="W64" s="26">
        <v>0</v>
      </c>
      <c r="X64" s="26">
        <v>0</v>
      </c>
      <c r="Y64" s="35"/>
      <c r="Z64" s="35"/>
      <c r="AA64" s="35"/>
      <c r="AB64" s="35"/>
      <c r="AC64" s="35"/>
      <c r="AD64" s="35"/>
      <c r="AE64" s="35"/>
      <c r="AF64" s="35"/>
    </row>
    <row r="65" spans="1:32" x14ac:dyDescent="0.25">
      <c r="A65" s="21"/>
      <c r="B65" s="21"/>
      <c r="C65" s="28" t="s">
        <v>77</v>
      </c>
      <c r="D65" s="29"/>
      <c r="E65" s="23" t="s">
        <v>47</v>
      </c>
      <c r="F65" s="23"/>
      <c r="G65" s="24">
        <v>1</v>
      </c>
      <c r="H65" s="24">
        <v>1</v>
      </c>
      <c r="I65" s="26">
        <v>1</v>
      </c>
      <c r="J65" s="26">
        <v>1</v>
      </c>
      <c r="K65" s="26">
        <v>1</v>
      </c>
      <c r="L65" s="26">
        <v>1</v>
      </c>
      <c r="M65" s="26">
        <v>1</v>
      </c>
      <c r="N65" s="26">
        <v>1</v>
      </c>
      <c r="O65" s="26">
        <v>1</v>
      </c>
      <c r="P65" s="26">
        <v>1</v>
      </c>
      <c r="Q65" s="26">
        <v>1</v>
      </c>
      <c r="R65" s="26">
        <v>1</v>
      </c>
      <c r="S65" s="26">
        <v>1</v>
      </c>
      <c r="T65" s="25">
        <v>0</v>
      </c>
      <c r="U65" s="26">
        <v>0</v>
      </c>
      <c r="V65" s="26">
        <v>0</v>
      </c>
      <c r="W65" s="26">
        <v>0</v>
      </c>
      <c r="X65" s="26">
        <v>0</v>
      </c>
      <c r="Y65" s="35"/>
      <c r="Z65" s="35"/>
      <c r="AA65" s="35"/>
      <c r="AB65" s="35"/>
      <c r="AC65" s="35"/>
      <c r="AD65" s="35"/>
      <c r="AE65" s="35"/>
      <c r="AF65" s="35"/>
    </row>
    <row r="66" spans="1:32" x14ac:dyDescent="0.25">
      <c r="A66" s="21"/>
      <c r="B66" s="21"/>
      <c r="C66" s="28" t="s">
        <v>78</v>
      </c>
      <c r="D66" s="29"/>
      <c r="E66" s="23" t="s">
        <v>47</v>
      </c>
      <c r="F66" s="23"/>
      <c r="G66" s="24">
        <v>1</v>
      </c>
      <c r="H66" s="24">
        <v>1</v>
      </c>
      <c r="I66" s="26">
        <v>1</v>
      </c>
      <c r="J66" s="26">
        <v>1</v>
      </c>
      <c r="K66" s="26">
        <v>1</v>
      </c>
      <c r="L66" s="26">
        <v>1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>
        <v>1</v>
      </c>
      <c r="S66" s="26">
        <v>1</v>
      </c>
      <c r="T66" s="25">
        <v>0</v>
      </c>
      <c r="U66" s="26">
        <v>0</v>
      </c>
      <c r="V66" s="26">
        <v>0</v>
      </c>
      <c r="W66" s="26">
        <v>0</v>
      </c>
      <c r="X66" s="26">
        <v>0</v>
      </c>
      <c r="Y66" s="35"/>
      <c r="Z66" s="35"/>
      <c r="AA66" s="35"/>
      <c r="AB66" s="35"/>
      <c r="AC66" s="35"/>
      <c r="AD66" s="35"/>
      <c r="AE66" s="35"/>
      <c r="AF66" s="35"/>
    </row>
    <row r="67" spans="1:32" x14ac:dyDescent="0.25">
      <c r="A67" s="21"/>
      <c r="B67" s="21"/>
      <c r="C67" s="22"/>
      <c r="D67" s="22"/>
      <c r="E67" s="23"/>
      <c r="F67" s="23"/>
      <c r="G67" s="24"/>
      <c r="H67" s="24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35"/>
      <c r="Z67" s="35"/>
      <c r="AA67" s="35"/>
      <c r="AB67" s="35"/>
      <c r="AC67" s="35"/>
      <c r="AD67" s="35"/>
      <c r="AE67" s="35"/>
      <c r="AF67" s="35"/>
    </row>
    <row r="68" spans="1:32" x14ac:dyDescent="0.25">
      <c r="A68" s="21"/>
      <c r="B68" s="21" t="s">
        <v>79</v>
      </c>
      <c r="C68" s="22" t="s">
        <v>80</v>
      </c>
      <c r="D68" s="22"/>
      <c r="E68" s="23" t="s">
        <v>27</v>
      </c>
      <c r="F68" s="23"/>
      <c r="G68" s="24">
        <v>1</v>
      </c>
      <c r="H68" s="24">
        <v>1</v>
      </c>
      <c r="I68" s="26">
        <v>1</v>
      </c>
      <c r="J68" s="26">
        <v>1</v>
      </c>
      <c r="K68" s="26">
        <v>1</v>
      </c>
      <c r="L68" s="26">
        <v>1</v>
      </c>
      <c r="M68" s="26">
        <v>1</v>
      </c>
      <c r="N68" s="26">
        <v>1</v>
      </c>
      <c r="O68" s="26">
        <v>1</v>
      </c>
      <c r="P68" s="26">
        <v>1</v>
      </c>
      <c r="Q68" s="26">
        <v>1</v>
      </c>
      <c r="R68" s="26">
        <v>1</v>
      </c>
      <c r="S68" s="26">
        <v>1</v>
      </c>
      <c r="T68" s="26">
        <v>1</v>
      </c>
      <c r="U68" s="25">
        <v>0</v>
      </c>
      <c r="V68" s="26">
        <v>0</v>
      </c>
      <c r="W68" s="26">
        <v>0</v>
      </c>
      <c r="X68" s="26">
        <v>0</v>
      </c>
      <c r="Y68" s="35"/>
      <c r="Z68" s="35"/>
      <c r="AA68" s="35"/>
      <c r="AB68" s="35"/>
      <c r="AC68" s="35"/>
      <c r="AD68" s="35"/>
      <c r="AE68" s="35"/>
      <c r="AF68" s="35"/>
    </row>
    <row r="69" spans="1:32" x14ac:dyDescent="0.25">
      <c r="A69" s="21"/>
      <c r="B69" s="21"/>
      <c r="C69" s="22" t="s">
        <v>81</v>
      </c>
      <c r="D69" s="22"/>
      <c r="E69" s="23" t="s">
        <v>27</v>
      </c>
      <c r="F69" s="23"/>
      <c r="G69" s="24">
        <v>1</v>
      </c>
      <c r="H69" s="24">
        <v>1</v>
      </c>
      <c r="I69" s="26">
        <v>1</v>
      </c>
      <c r="J69" s="26">
        <v>1</v>
      </c>
      <c r="K69" s="26">
        <v>1</v>
      </c>
      <c r="L69" s="26">
        <v>1</v>
      </c>
      <c r="M69" s="26">
        <v>1</v>
      </c>
      <c r="N69" s="26">
        <v>1</v>
      </c>
      <c r="O69" s="26">
        <v>1</v>
      </c>
      <c r="P69" s="26">
        <v>1</v>
      </c>
      <c r="Q69" s="26">
        <v>1</v>
      </c>
      <c r="R69" s="26">
        <v>1</v>
      </c>
      <c r="S69" s="26">
        <v>1</v>
      </c>
      <c r="T69" s="26">
        <v>1</v>
      </c>
      <c r="U69" s="25">
        <v>0</v>
      </c>
      <c r="V69" s="26">
        <v>0</v>
      </c>
      <c r="W69" s="26">
        <v>0</v>
      </c>
      <c r="X69" s="26">
        <v>0</v>
      </c>
      <c r="Y69" s="35"/>
      <c r="Z69" s="35"/>
      <c r="AA69" s="35"/>
      <c r="AB69" s="35"/>
      <c r="AC69" s="35"/>
      <c r="AD69" s="35"/>
      <c r="AE69" s="35"/>
      <c r="AF69" s="35"/>
    </row>
    <row r="70" spans="1:32" x14ac:dyDescent="0.25">
      <c r="A70" s="21"/>
      <c r="B70" s="21"/>
      <c r="C70" s="22" t="s">
        <v>82</v>
      </c>
      <c r="D70" s="22"/>
      <c r="E70" s="23" t="s">
        <v>57</v>
      </c>
      <c r="F70" s="23"/>
      <c r="G70" s="24">
        <v>3</v>
      </c>
      <c r="H70" s="24">
        <v>2</v>
      </c>
      <c r="I70" s="24">
        <v>2</v>
      </c>
      <c r="J70" s="24">
        <v>2</v>
      </c>
      <c r="K70" s="24">
        <v>2</v>
      </c>
      <c r="L70" s="24">
        <v>2</v>
      </c>
      <c r="M70" s="24">
        <v>2</v>
      </c>
      <c r="N70" s="24">
        <v>2</v>
      </c>
      <c r="O70" s="24">
        <v>2</v>
      </c>
      <c r="P70" s="24">
        <v>2</v>
      </c>
      <c r="Q70" s="24">
        <v>2</v>
      </c>
      <c r="R70" s="24">
        <v>2</v>
      </c>
      <c r="S70" s="24">
        <v>2</v>
      </c>
      <c r="T70" s="24">
        <v>2</v>
      </c>
      <c r="U70" s="25">
        <v>0</v>
      </c>
      <c r="V70" s="26">
        <v>0</v>
      </c>
      <c r="W70" s="26">
        <v>0</v>
      </c>
      <c r="X70" s="26">
        <v>0</v>
      </c>
      <c r="Y70" s="35"/>
      <c r="Z70" s="35"/>
      <c r="AA70" s="35"/>
      <c r="AB70" s="35"/>
      <c r="AC70" s="35"/>
      <c r="AD70" s="35"/>
      <c r="AE70" s="35"/>
      <c r="AF70" s="35"/>
    </row>
    <row r="71" spans="1:32" x14ac:dyDescent="0.25">
      <c r="A71" s="21"/>
      <c r="B71" s="21"/>
      <c r="C71" s="30"/>
      <c r="D71" s="31"/>
      <c r="E71" s="30"/>
      <c r="F71" s="31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33">
        <v>1</v>
      </c>
      <c r="V71" s="26"/>
      <c r="W71" s="26"/>
      <c r="X71" s="26"/>
      <c r="Y71" s="35"/>
      <c r="Z71" s="35"/>
      <c r="AA71" s="35"/>
      <c r="AB71" s="35"/>
      <c r="AC71" s="35"/>
      <c r="AD71" s="35"/>
      <c r="AE71" s="35"/>
      <c r="AF71" s="35"/>
    </row>
    <row r="72" spans="1:32" x14ac:dyDescent="0.25">
      <c r="A72" s="21"/>
      <c r="B72" s="21"/>
      <c r="C72" s="22" t="s">
        <v>83</v>
      </c>
      <c r="D72" s="22"/>
      <c r="E72" s="23" t="s">
        <v>57</v>
      </c>
      <c r="F72" s="23"/>
      <c r="G72" s="24">
        <v>1</v>
      </c>
      <c r="H72" s="24">
        <v>1</v>
      </c>
      <c r="I72" s="26">
        <v>1</v>
      </c>
      <c r="J72" s="26">
        <v>1</v>
      </c>
      <c r="K72" s="26">
        <v>1</v>
      </c>
      <c r="L72" s="26">
        <v>1</v>
      </c>
      <c r="M72" s="26">
        <v>1</v>
      </c>
      <c r="N72" s="26">
        <v>1</v>
      </c>
      <c r="O72" s="26">
        <v>1</v>
      </c>
      <c r="P72" s="26">
        <v>1</v>
      </c>
      <c r="Q72" s="26">
        <v>1</v>
      </c>
      <c r="R72" s="26">
        <v>1</v>
      </c>
      <c r="S72" s="26">
        <v>1</v>
      </c>
      <c r="T72" s="26">
        <v>1</v>
      </c>
      <c r="U72" s="25">
        <v>0</v>
      </c>
      <c r="V72" s="26">
        <v>0</v>
      </c>
      <c r="W72" s="26">
        <v>0</v>
      </c>
      <c r="X72" s="26">
        <v>0</v>
      </c>
      <c r="Y72" s="35"/>
      <c r="Z72" s="35"/>
      <c r="AA72" s="35"/>
      <c r="AB72" s="35"/>
      <c r="AC72" s="35"/>
      <c r="AD72" s="35"/>
      <c r="AE72" s="35"/>
      <c r="AF72" s="35"/>
    </row>
    <row r="73" spans="1:32" x14ac:dyDescent="0.25">
      <c r="A73" s="21"/>
      <c r="B73" s="21"/>
      <c r="C73" s="36" t="s">
        <v>84</v>
      </c>
      <c r="D73" s="37"/>
      <c r="E73" s="23" t="s">
        <v>57</v>
      </c>
      <c r="F73" s="23"/>
      <c r="G73" s="24">
        <v>2</v>
      </c>
      <c r="H73" s="24">
        <v>2</v>
      </c>
      <c r="I73" s="26">
        <v>1</v>
      </c>
      <c r="J73" s="26">
        <v>1</v>
      </c>
      <c r="K73" s="26">
        <v>1</v>
      </c>
      <c r="L73" s="26">
        <v>1</v>
      </c>
      <c r="M73" s="26">
        <v>1</v>
      </c>
      <c r="N73" s="26">
        <v>1</v>
      </c>
      <c r="O73" s="26">
        <v>1</v>
      </c>
      <c r="P73" s="26">
        <v>1</v>
      </c>
      <c r="Q73" s="26">
        <v>1</v>
      </c>
      <c r="R73" s="26">
        <v>1</v>
      </c>
      <c r="S73" s="26">
        <v>1</v>
      </c>
      <c r="T73" s="26">
        <v>1</v>
      </c>
      <c r="U73" s="26">
        <v>1</v>
      </c>
      <c r="V73" s="25">
        <v>0</v>
      </c>
      <c r="W73" s="26">
        <v>0</v>
      </c>
      <c r="X73" s="26">
        <v>0</v>
      </c>
      <c r="Y73" s="35"/>
      <c r="Z73" s="35"/>
      <c r="AA73" s="35"/>
      <c r="AB73" s="35"/>
      <c r="AC73" s="35"/>
      <c r="AD73" s="35"/>
      <c r="AE73" s="35"/>
      <c r="AF73" s="35"/>
    </row>
    <row r="74" spans="1:32" x14ac:dyDescent="0.25">
      <c r="A74" s="21"/>
      <c r="B74" s="21"/>
      <c r="C74" s="36" t="s">
        <v>85</v>
      </c>
      <c r="D74" s="37"/>
      <c r="E74" s="23" t="s">
        <v>27</v>
      </c>
      <c r="F74" s="23"/>
      <c r="G74" s="24">
        <v>1</v>
      </c>
      <c r="H74" s="24">
        <v>1</v>
      </c>
      <c r="I74" s="26">
        <v>1</v>
      </c>
      <c r="J74" s="26">
        <v>1</v>
      </c>
      <c r="K74" s="26">
        <v>1</v>
      </c>
      <c r="L74" s="26">
        <v>1</v>
      </c>
      <c r="M74" s="26">
        <v>1</v>
      </c>
      <c r="N74" s="26">
        <v>1</v>
      </c>
      <c r="O74" s="26">
        <v>1</v>
      </c>
      <c r="P74" s="26">
        <v>1</v>
      </c>
      <c r="Q74" s="26">
        <v>1</v>
      </c>
      <c r="R74" s="26">
        <v>1</v>
      </c>
      <c r="S74" s="26">
        <v>1</v>
      </c>
      <c r="T74" s="26">
        <v>1</v>
      </c>
      <c r="U74" s="26">
        <v>1</v>
      </c>
      <c r="V74" s="25">
        <v>0</v>
      </c>
      <c r="W74" s="26">
        <v>0</v>
      </c>
      <c r="X74" s="26">
        <v>0</v>
      </c>
      <c r="Y74" s="35"/>
      <c r="Z74" s="35"/>
      <c r="AA74" s="35"/>
      <c r="AB74" s="35"/>
      <c r="AC74" s="35"/>
      <c r="AD74" s="35"/>
      <c r="AE74" s="35"/>
      <c r="AF74" s="35"/>
    </row>
    <row r="75" spans="1:32" x14ac:dyDescent="0.25">
      <c r="A75" s="21"/>
      <c r="B75" s="21"/>
      <c r="C75" s="22" t="s">
        <v>86</v>
      </c>
      <c r="D75" s="22"/>
      <c r="E75" s="23" t="s">
        <v>57</v>
      </c>
      <c r="F75" s="23"/>
      <c r="G75" s="24">
        <v>2</v>
      </c>
      <c r="H75" s="24">
        <v>2</v>
      </c>
      <c r="I75" s="26">
        <v>2</v>
      </c>
      <c r="J75" s="26">
        <v>2</v>
      </c>
      <c r="K75" s="26">
        <v>2</v>
      </c>
      <c r="L75" s="26">
        <v>2</v>
      </c>
      <c r="M75" s="26">
        <v>2</v>
      </c>
      <c r="N75" s="26">
        <v>2</v>
      </c>
      <c r="O75" s="26">
        <v>2</v>
      </c>
      <c r="P75" s="26">
        <v>2</v>
      </c>
      <c r="Q75" s="26">
        <v>2</v>
      </c>
      <c r="R75" s="26">
        <v>2</v>
      </c>
      <c r="S75" s="26">
        <v>2</v>
      </c>
      <c r="T75" s="26">
        <v>2</v>
      </c>
      <c r="U75" s="26">
        <v>2</v>
      </c>
      <c r="V75" s="25">
        <v>0</v>
      </c>
      <c r="W75" s="26">
        <v>0</v>
      </c>
      <c r="X75" s="26">
        <v>0</v>
      </c>
      <c r="Y75" s="35"/>
      <c r="Z75" s="35"/>
      <c r="AA75" s="35"/>
      <c r="AB75" s="35"/>
      <c r="AC75" s="35"/>
      <c r="AD75" s="35"/>
      <c r="AE75" s="35"/>
      <c r="AF75" s="35"/>
    </row>
    <row r="76" spans="1:32" x14ac:dyDescent="0.25">
      <c r="A76" s="21"/>
      <c r="B76" s="21"/>
      <c r="C76" s="22" t="s">
        <v>87</v>
      </c>
      <c r="D76" s="22"/>
      <c r="E76" s="23" t="s">
        <v>27</v>
      </c>
      <c r="F76" s="23"/>
      <c r="G76" s="24">
        <v>2</v>
      </c>
      <c r="H76" s="24">
        <v>2</v>
      </c>
      <c r="I76" s="26">
        <v>2</v>
      </c>
      <c r="J76" s="26">
        <v>2</v>
      </c>
      <c r="K76" s="26">
        <v>2</v>
      </c>
      <c r="L76" s="26">
        <v>2</v>
      </c>
      <c r="M76" s="26">
        <v>2</v>
      </c>
      <c r="N76" s="26">
        <v>2</v>
      </c>
      <c r="O76" s="26">
        <v>2</v>
      </c>
      <c r="P76" s="26">
        <v>2</v>
      </c>
      <c r="Q76" s="26">
        <v>2</v>
      </c>
      <c r="R76" s="26">
        <v>2</v>
      </c>
      <c r="S76" s="26">
        <v>2</v>
      </c>
      <c r="T76" s="26">
        <v>2</v>
      </c>
      <c r="U76" s="26">
        <v>2</v>
      </c>
      <c r="V76" s="25">
        <v>0</v>
      </c>
      <c r="W76" s="26">
        <v>0</v>
      </c>
      <c r="X76" s="26">
        <v>0</v>
      </c>
      <c r="Y76" s="35"/>
      <c r="Z76" s="35"/>
      <c r="AA76" s="35"/>
      <c r="AB76" s="35"/>
      <c r="AC76" s="35"/>
      <c r="AD76" s="35"/>
      <c r="AE76" s="35"/>
      <c r="AF76" s="35"/>
    </row>
    <row r="77" spans="1:32" x14ac:dyDescent="0.25">
      <c r="A77" s="21"/>
      <c r="B77" s="21" t="s">
        <v>88</v>
      </c>
      <c r="C77" s="22" t="s">
        <v>89</v>
      </c>
      <c r="D77" s="22"/>
      <c r="E77" s="34" t="s">
        <v>47</v>
      </c>
      <c r="F77" s="34"/>
      <c r="G77" s="24">
        <v>1</v>
      </c>
      <c r="H77" s="24">
        <v>1</v>
      </c>
      <c r="I77" s="26">
        <v>1</v>
      </c>
      <c r="J77" s="26">
        <v>1</v>
      </c>
      <c r="K77" s="26">
        <v>1</v>
      </c>
      <c r="L77" s="26">
        <v>1</v>
      </c>
      <c r="M77" s="26">
        <v>1</v>
      </c>
      <c r="N77" s="26">
        <v>1</v>
      </c>
      <c r="O77" s="26">
        <v>1</v>
      </c>
      <c r="P77" s="26">
        <v>1</v>
      </c>
      <c r="Q77" s="26">
        <v>1</v>
      </c>
      <c r="R77" s="26">
        <v>1</v>
      </c>
      <c r="S77" s="26">
        <v>1</v>
      </c>
      <c r="T77" s="26">
        <v>1</v>
      </c>
      <c r="U77" s="26">
        <v>1</v>
      </c>
      <c r="V77" s="26">
        <v>1</v>
      </c>
      <c r="W77" s="25">
        <v>0</v>
      </c>
      <c r="X77" s="26">
        <v>0</v>
      </c>
      <c r="Y77" s="35"/>
      <c r="Z77" s="35"/>
      <c r="AA77" s="35"/>
      <c r="AB77" s="35"/>
      <c r="AC77" s="35"/>
      <c r="AD77" s="35"/>
      <c r="AE77" s="35"/>
      <c r="AF77" s="35"/>
    </row>
    <row r="78" spans="1:32" x14ac:dyDescent="0.25">
      <c r="A78" s="21"/>
      <c r="B78" s="21"/>
      <c r="C78" s="22" t="s">
        <v>90</v>
      </c>
      <c r="D78" s="22"/>
      <c r="E78" s="34" t="s">
        <v>47</v>
      </c>
      <c r="F78" s="34"/>
      <c r="G78" s="24">
        <v>1</v>
      </c>
      <c r="H78" s="24">
        <v>1</v>
      </c>
      <c r="I78" s="26">
        <v>1</v>
      </c>
      <c r="J78" s="26">
        <v>1</v>
      </c>
      <c r="K78" s="26">
        <v>1</v>
      </c>
      <c r="L78" s="26">
        <v>1</v>
      </c>
      <c r="M78" s="26">
        <v>1</v>
      </c>
      <c r="N78" s="26">
        <v>1</v>
      </c>
      <c r="O78" s="26">
        <v>1</v>
      </c>
      <c r="P78" s="26">
        <v>1</v>
      </c>
      <c r="Q78" s="26">
        <v>1</v>
      </c>
      <c r="R78" s="26">
        <v>1</v>
      </c>
      <c r="S78" s="26">
        <v>1</v>
      </c>
      <c r="T78" s="26">
        <v>1</v>
      </c>
      <c r="U78" s="26">
        <v>1</v>
      </c>
      <c r="V78" s="26">
        <v>1</v>
      </c>
      <c r="W78" s="25">
        <v>0</v>
      </c>
      <c r="X78" s="26">
        <v>0</v>
      </c>
      <c r="Y78" s="35"/>
      <c r="Z78" s="35"/>
      <c r="AA78" s="35"/>
      <c r="AB78" s="35"/>
      <c r="AC78" s="35"/>
      <c r="AD78" s="35"/>
      <c r="AE78" s="35"/>
      <c r="AF78" s="35"/>
    </row>
    <row r="79" spans="1:32" x14ac:dyDescent="0.25">
      <c r="A79" s="21"/>
      <c r="B79" s="21"/>
      <c r="C79" s="22" t="s">
        <v>91</v>
      </c>
      <c r="D79" s="22"/>
      <c r="E79" s="34" t="s">
        <v>47</v>
      </c>
      <c r="F79" s="34"/>
      <c r="G79" s="24">
        <v>2</v>
      </c>
      <c r="H79" s="24">
        <v>2</v>
      </c>
      <c r="I79" s="26">
        <v>2</v>
      </c>
      <c r="J79" s="26">
        <v>2</v>
      </c>
      <c r="K79" s="26">
        <v>2</v>
      </c>
      <c r="L79" s="26">
        <v>2</v>
      </c>
      <c r="M79" s="26">
        <v>2</v>
      </c>
      <c r="N79" s="26">
        <v>2</v>
      </c>
      <c r="O79" s="26">
        <v>2</v>
      </c>
      <c r="P79" s="26">
        <v>2</v>
      </c>
      <c r="Q79" s="26">
        <v>2</v>
      </c>
      <c r="R79" s="26">
        <v>2</v>
      </c>
      <c r="S79" s="26">
        <v>2</v>
      </c>
      <c r="T79" s="26">
        <v>2</v>
      </c>
      <c r="U79" s="26">
        <v>2</v>
      </c>
      <c r="V79" s="26">
        <v>2</v>
      </c>
      <c r="W79" s="25">
        <v>0</v>
      </c>
      <c r="X79" s="26">
        <v>0</v>
      </c>
      <c r="Y79" s="35"/>
      <c r="Z79" s="35"/>
      <c r="AA79" s="35"/>
      <c r="AB79" s="35"/>
      <c r="AC79" s="35"/>
      <c r="AD79" s="35"/>
      <c r="AE79" s="35"/>
      <c r="AF79" s="35"/>
    </row>
    <row r="80" spans="1:32" x14ac:dyDescent="0.25">
      <c r="A80" s="21"/>
      <c r="B80" s="21"/>
      <c r="C80" s="22" t="s">
        <v>92</v>
      </c>
      <c r="D80" s="22"/>
      <c r="E80" s="34" t="s">
        <v>47</v>
      </c>
      <c r="F80" s="34"/>
      <c r="G80" s="24">
        <v>2</v>
      </c>
      <c r="H80" s="24">
        <v>2</v>
      </c>
      <c r="I80" s="26">
        <v>2</v>
      </c>
      <c r="J80" s="26">
        <v>2</v>
      </c>
      <c r="K80" s="26">
        <v>2</v>
      </c>
      <c r="L80" s="26">
        <v>2</v>
      </c>
      <c r="M80" s="26">
        <v>2</v>
      </c>
      <c r="N80" s="26">
        <v>2</v>
      </c>
      <c r="O80" s="26">
        <v>2</v>
      </c>
      <c r="P80" s="26">
        <v>2</v>
      </c>
      <c r="Q80" s="26">
        <v>2</v>
      </c>
      <c r="R80" s="26">
        <v>2</v>
      </c>
      <c r="S80" s="26">
        <v>2</v>
      </c>
      <c r="T80" s="26">
        <v>2</v>
      </c>
      <c r="U80" s="26">
        <v>2</v>
      </c>
      <c r="V80" s="26">
        <v>2</v>
      </c>
      <c r="W80" s="25">
        <v>0</v>
      </c>
      <c r="X80" s="26">
        <v>0</v>
      </c>
      <c r="Y80" s="35"/>
      <c r="Z80" s="35"/>
      <c r="AA80" s="35"/>
      <c r="AB80" s="35"/>
      <c r="AC80" s="35"/>
      <c r="AD80" s="35"/>
      <c r="AE80" s="35"/>
      <c r="AF80" s="35"/>
    </row>
    <row r="81" spans="1:32" x14ac:dyDescent="0.25">
      <c r="A81" s="21"/>
      <c r="B81" s="21"/>
      <c r="C81" s="22" t="s">
        <v>93</v>
      </c>
      <c r="D81" s="22"/>
      <c r="E81" s="34" t="s">
        <v>42</v>
      </c>
      <c r="F81" s="34"/>
      <c r="G81" s="24">
        <v>2</v>
      </c>
      <c r="H81" s="24">
        <v>2</v>
      </c>
      <c r="I81" s="26">
        <v>2</v>
      </c>
      <c r="J81" s="26">
        <v>2</v>
      </c>
      <c r="K81" s="26">
        <v>2</v>
      </c>
      <c r="L81" s="26">
        <v>2</v>
      </c>
      <c r="M81" s="26">
        <v>2</v>
      </c>
      <c r="N81" s="26">
        <v>2</v>
      </c>
      <c r="O81" s="26">
        <v>2</v>
      </c>
      <c r="P81" s="26">
        <v>2</v>
      </c>
      <c r="Q81" s="26">
        <v>2</v>
      </c>
      <c r="R81" s="26">
        <v>2</v>
      </c>
      <c r="S81" s="26">
        <v>2</v>
      </c>
      <c r="T81" s="26">
        <v>2</v>
      </c>
      <c r="U81" s="26">
        <v>2</v>
      </c>
      <c r="V81" s="26">
        <v>2</v>
      </c>
      <c r="W81" s="25">
        <v>0</v>
      </c>
      <c r="X81" s="26">
        <v>0</v>
      </c>
      <c r="Y81" s="35"/>
      <c r="Z81" s="35"/>
      <c r="AA81" s="35"/>
      <c r="AB81" s="35"/>
      <c r="AC81" s="35"/>
      <c r="AD81" s="35"/>
      <c r="AE81" s="35"/>
      <c r="AF81" s="35"/>
    </row>
    <row r="82" spans="1:32" x14ac:dyDescent="0.25">
      <c r="A82" s="21"/>
      <c r="B82" s="21"/>
      <c r="C82" s="36" t="s">
        <v>94</v>
      </c>
      <c r="D82" s="37"/>
      <c r="E82" s="34" t="s">
        <v>42</v>
      </c>
      <c r="F82" s="34"/>
      <c r="G82" s="24">
        <v>2</v>
      </c>
      <c r="H82" s="24">
        <v>2</v>
      </c>
      <c r="I82" s="26">
        <v>2</v>
      </c>
      <c r="J82" s="26">
        <v>2</v>
      </c>
      <c r="K82" s="26">
        <v>2</v>
      </c>
      <c r="L82" s="26">
        <v>2</v>
      </c>
      <c r="M82" s="26">
        <v>2</v>
      </c>
      <c r="N82" s="26">
        <v>2</v>
      </c>
      <c r="O82" s="26">
        <v>2</v>
      </c>
      <c r="P82" s="26">
        <v>2</v>
      </c>
      <c r="Q82" s="26">
        <v>2</v>
      </c>
      <c r="R82" s="26">
        <v>2</v>
      </c>
      <c r="S82" s="26">
        <v>2</v>
      </c>
      <c r="T82" s="26">
        <v>2</v>
      </c>
      <c r="U82" s="26">
        <v>2</v>
      </c>
      <c r="V82" s="26">
        <v>2</v>
      </c>
      <c r="W82" s="25">
        <v>0</v>
      </c>
      <c r="X82" s="26">
        <v>0</v>
      </c>
      <c r="Y82" s="35"/>
      <c r="Z82" s="35"/>
      <c r="AA82" s="35"/>
      <c r="AB82" s="35"/>
      <c r="AC82" s="35"/>
      <c r="AD82" s="35"/>
      <c r="AE82" s="35"/>
      <c r="AF82" s="35"/>
    </row>
    <row r="83" spans="1:32" x14ac:dyDescent="0.25">
      <c r="A83" s="21"/>
      <c r="B83" s="21"/>
      <c r="C83" s="36" t="s">
        <v>95</v>
      </c>
      <c r="D83" s="37"/>
      <c r="E83" s="34" t="s">
        <v>42</v>
      </c>
      <c r="F83" s="34"/>
      <c r="G83" s="24">
        <v>2</v>
      </c>
      <c r="H83" s="24">
        <v>2</v>
      </c>
      <c r="I83" s="26">
        <v>2</v>
      </c>
      <c r="J83" s="26">
        <v>2</v>
      </c>
      <c r="K83" s="26">
        <v>2</v>
      </c>
      <c r="L83" s="26">
        <v>2</v>
      </c>
      <c r="M83" s="26">
        <v>2</v>
      </c>
      <c r="N83" s="26">
        <v>2</v>
      </c>
      <c r="O83" s="26">
        <v>2</v>
      </c>
      <c r="P83" s="26">
        <v>2</v>
      </c>
      <c r="Q83" s="26">
        <v>2</v>
      </c>
      <c r="R83" s="26">
        <v>2</v>
      </c>
      <c r="S83" s="26">
        <v>2</v>
      </c>
      <c r="T83" s="26">
        <v>2</v>
      </c>
      <c r="U83" s="26">
        <v>2</v>
      </c>
      <c r="V83" s="26">
        <v>2</v>
      </c>
      <c r="W83" s="25">
        <v>0</v>
      </c>
      <c r="X83" s="26">
        <v>0</v>
      </c>
      <c r="Y83" s="35"/>
      <c r="Z83" s="35"/>
      <c r="AA83" s="35"/>
      <c r="AB83" s="35"/>
      <c r="AC83" s="35"/>
      <c r="AD83" s="35"/>
      <c r="AE83" s="35"/>
      <c r="AF83" s="35"/>
    </row>
    <row r="84" spans="1:32" x14ac:dyDescent="0.25">
      <c r="A84" s="21"/>
      <c r="B84" s="21"/>
      <c r="C84" s="22"/>
      <c r="D84" s="22"/>
      <c r="E84" s="34"/>
      <c r="F84" s="34"/>
      <c r="G84" s="24"/>
      <c r="H84" s="24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35"/>
      <c r="Z84" s="35"/>
      <c r="AA84" s="35"/>
      <c r="AB84" s="35"/>
      <c r="AC84" s="35"/>
      <c r="AD84" s="35"/>
      <c r="AE84" s="35"/>
      <c r="AF84" s="35"/>
    </row>
    <row r="85" spans="1:32" x14ac:dyDescent="0.25">
      <c r="A85" s="21"/>
      <c r="B85" s="21" t="s">
        <v>96</v>
      </c>
      <c r="C85" s="22" t="s">
        <v>97</v>
      </c>
      <c r="D85" s="22"/>
      <c r="E85" s="34" t="s">
        <v>25</v>
      </c>
      <c r="F85" s="34"/>
      <c r="G85" s="24">
        <v>5</v>
      </c>
      <c r="H85" s="24">
        <v>5</v>
      </c>
      <c r="I85" s="26">
        <v>5</v>
      </c>
      <c r="J85" s="26">
        <v>5</v>
      </c>
      <c r="K85" s="26">
        <v>5</v>
      </c>
      <c r="L85" s="26">
        <v>5</v>
      </c>
      <c r="M85" s="26">
        <v>5</v>
      </c>
      <c r="N85" s="26">
        <v>5</v>
      </c>
      <c r="O85" s="26">
        <v>5</v>
      </c>
      <c r="P85" s="26">
        <v>5</v>
      </c>
      <c r="Q85" s="26">
        <v>5</v>
      </c>
      <c r="R85" s="26">
        <v>5</v>
      </c>
      <c r="S85" s="26">
        <v>5</v>
      </c>
      <c r="T85" s="26">
        <v>5</v>
      </c>
      <c r="U85" s="26">
        <v>5</v>
      </c>
      <c r="V85" s="26">
        <v>5</v>
      </c>
      <c r="W85" s="26">
        <v>5</v>
      </c>
      <c r="X85" s="25">
        <v>0</v>
      </c>
      <c r="Y85" s="35"/>
      <c r="Z85" s="35"/>
      <c r="AA85" s="35"/>
      <c r="AB85" s="35"/>
      <c r="AC85" s="35"/>
      <c r="AD85" s="35"/>
      <c r="AE85" s="35"/>
      <c r="AF85" s="35"/>
    </row>
    <row r="86" spans="1:32" x14ac:dyDescent="0.25">
      <c r="A86" s="21"/>
      <c r="B86" s="21"/>
      <c r="C86" s="22" t="s">
        <v>98</v>
      </c>
      <c r="D86" s="22"/>
      <c r="E86" s="34" t="s">
        <v>25</v>
      </c>
      <c r="F86" s="34"/>
      <c r="G86" s="24">
        <v>5</v>
      </c>
      <c r="H86" s="24">
        <v>5</v>
      </c>
      <c r="I86" s="26">
        <v>5</v>
      </c>
      <c r="J86" s="26">
        <v>5</v>
      </c>
      <c r="K86" s="26">
        <v>5</v>
      </c>
      <c r="L86" s="26">
        <v>5</v>
      </c>
      <c r="M86" s="26">
        <v>5</v>
      </c>
      <c r="N86" s="26">
        <v>5</v>
      </c>
      <c r="O86" s="26">
        <v>5</v>
      </c>
      <c r="P86" s="26">
        <v>5</v>
      </c>
      <c r="Q86" s="26">
        <v>5</v>
      </c>
      <c r="R86" s="26">
        <v>5</v>
      </c>
      <c r="S86" s="26">
        <v>5</v>
      </c>
      <c r="T86" s="26">
        <v>5</v>
      </c>
      <c r="U86" s="26">
        <v>5</v>
      </c>
      <c r="V86" s="26">
        <v>5</v>
      </c>
      <c r="W86" s="26">
        <v>5</v>
      </c>
      <c r="X86" s="25">
        <v>0</v>
      </c>
      <c r="Y86" s="35"/>
      <c r="Z86" s="35"/>
      <c r="AA86" s="35"/>
      <c r="AB86" s="35"/>
      <c r="AC86" s="35"/>
      <c r="AD86" s="35"/>
      <c r="AE86" s="35"/>
      <c r="AF86" s="35"/>
    </row>
    <row r="87" spans="1:32" x14ac:dyDescent="0.25">
      <c r="A87" s="21"/>
      <c r="B87" s="38" t="s">
        <v>19</v>
      </c>
      <c r="C87" s="38"/>
      <c r="D87" s="38"/>
      <c r="E87" s="39" t="s">
        <v>12</v>
      </c>
      <c r="F87" s="39"/>
      <c r="G87" s="39">
        <f>SUM(G16:G86)</f>
        <v>133</v>
      </c>
      <c r="H87" s="39"/>
      <c r="I87" s="26">
        <f t="shared" ref="I87:P87" si="0">SUM(I16:I86)</f>
        <v>138</v>
      </c>
      <c r="J87" s="26">
        <f t="shared" si="0"/>
        <v>125</v>
      </c>
      <c r="K87" s="26">
        <f t="shared" si="0"/>
        <v>118</v>
      </c>
      <c r="L87" s="26">
        <f>SUM(L16:L86)-L30</f>
        <v>107</v>
      </c>
      <c r="M87" s="26">
        <f t="shared" si="0"/>
        <v>99</v>
      </c>
      <c r="N87" s="26">
        <f>SUM(N16:N86)-N39</f>
        <v>88</v>
      </c>
      <c r="O87" s="26">
        <f t="shared" si="0"/>
        <v>80</v>
      </c>
      <c r="P87" s="26">
        <f>SUM(P16:P86)+P47</f>
        <v>73</v>
      </c>
      <c r="Q87" s="26">
        <f>SUM(Q16:Q86)+Q39</f>
        <v>60</v>
      </c>
      <c r="R87" s="26">
        <f>SUM(R16:R86)</f>
        <v>56</v>
      </c>
      <c r="S87" s="26">
        <f>SUM(S16:S86)-S55</f>
        <v>50</v>
      </c>
      <c r="T87" s="26">
        <f>SUM(T16:T86)+T59</f>
        <v>45</v>
      </c>
      <c r="U87" s="26">
        <f>SUM(U16:U86)+U71</f>
        <v>30</v>
      </c>
      <c r="V87" s="26">
        <f>SUM(V16:V86)</f>
        <v>22</v>
      </c>
      <c r="W87" s="26">
        <f>SUM(W16:W86)</f>
        <v>10</v>
      </c>
      <c r="X87" s="26">
        <v>0</v>
      </c>
      <c r="Y87" s="35"/>
      <c r="Z87" s="35"/>
      <c r="AA87" s="35"/>
      <c r="AB87" s="35"/>
      <c r="AC87" s="35"/>
      <c r="AD87" s="35"/>
      <c r="AE87" s="35"/>
      <c r="AF87" s="35"/>
    </row>
    <row r="88" spans="1:32" x14ac:dyDescent="0.25">
      <c r="A88" s="21"/>
      <c r="B88" s="38"/>
      <c r="C88" s="38"/>
      <c r="D88" s="38"/>
      <c r="E88" s="39" t="s">
        <v>13</v>
      </c>
      <c r="F88" s="39"/>
      <c r="G88" s="39">
        <f>SUM(H16:H86)</f>
        <v>149</v>
      </c>
      <c r="H88" s="39"/>
      <c r="I88" s="26">
        <f>SUM(I16:I86)</f>
        <v>138</v>
      </c>
      <c r="J88" s="26">
        <f>SUM(J16:J86)</f>
        <v>125</v>
      </c>
      <c r="K88" s="26">
        <f>SUM(K16:K86)</f>
        <v>118</v>
      </c>
      <c r="L88" s="26">
        <f>SUM(L16:L86)-L22</f>
        <v>112</v>
      </c>
      <c r="M88" s="26">
        <f>M87</f>
        <v>99</v>
      </c>
      <c r="N88" s="26">
        <f>SUM(N16:N86)-N30</f>
        <v>94</v>
      </c>
      <c r="O88" s="26">
        <f>SUM(O16:O86)</f>
        <v>80</v>
      </c>
      <c r="P88" s="26">
        <f>SUM(P16:P86)</f>
        <v>72.5</v>
      </c>
      <c r="Q88" s="26">
        <f>SUM(Q16:Q86)</f>
        <v>60</v>
      </c>
      <c r="R88" s="26">
        <f>SUM(R16:R86)</f>
        <v>56</v>
      </c>
      <c r="S88" s="26">
        <f>SUM(S16:S86)</f>
        <v>50.5</v>
      </c>
      <c r="T88" s="26">
        <f>SUM(T16:T86)</f>
        <v>39</v>
      </c>
      <c r="U88" s="26">
        <f>SUM(U16:U86)</f>
        <v>29</v>
      </c>
      <c r="V88" s="26">
        <f>SUM(V16:V86)</f>
        <v>22</v>
      </c>
      <c r="W88" s="26">
        <f>SUM(W16:W86)</f>
        <v>10</v>
      </c>
      <c r="X88" s="26">
        <v>0</v>
      </c>
      <c r="Y88" s="27"/>
      <c r="Z88" s="27"/>
      <c r="AA88" s="27"/>
      <c r="AB88" s="27"/>
      <c r="AC88" s="27"/>
      <c r="AD88" s="27"/>
      <c r="AE88" s="27"/>
      <c r="AF88" s="27"/>
    </row>
  </sheetData>
  <mergeCells count="163">
    <mergeCell ref="B87:D88"/>
    <mergeCell ref="E87:F87"/>
    <mergeCell ref="G87:H87"/>
    <mergeCell ref="E88:F88"/>
    <mergeCell ref="G88:H88"/>
    <mergeCell ref="C83:D83"/>
    <mergeCell ref="E83:F83"/>
    <mergeCell ref="C84:D84"/>
    <mergeCell ref="E84:F84"/>
    <mergeCell ref="B85:B86"/>
    <mergeCell ref="C85:D85"/>
    <mergeCell ref="E85:F85"/>
    <mergeCell ref="C86:D86"/>
    <mergeCell ref="E86:F86"/>
    <mergeCell ref="E79:F79"/>
    <mergeCell ref="C80:D80"/>
    <mergeCell ref="E80:F80"/>
    <mergeCell ref="C81:D81"/>
    <mergeCell ref="E81:F81"/>
    <mergeCell ref="C82:D82"/>
    <mergeCell ref="E82:F82"/>
    <mergeCell ref="C75:D75"/>
    <mergeCell ref="E75:F75"/>
    <mergeCell ref="C76:D76"/>
    <mergeCell ref="E76:F76"/>
    <mergeCell ref="B77:B84"/>
    <mergeCell ref="C77:D77"/>
    <mergeCell ref="E77:F77"/>
    <mergeCell ref="C78:D78"/>
    <mergeCell ref="E78:F78"/>
    <mergeCell ref="C79:D79"/>
    <mergeCell ref="E71:F71"/>
    <mergeCell ref="C72:D72"/>
    <mergeCell ref="E72:F72"/>
    <mergeCell ref="C73:D73"/>
    <mergeCell ref="E73:F73"/>
    <mergeCell ref="C74:D74"/>
    <mergeCell ref="E74:F74"/>
    <mergeCell ref="C67:D67"/>
    <mergeCell ref="E67:F67"/>
    <mergeCell ref="B68:B76"/>
    <mergeCell ref="C68:D68"/>
    <mergeCell ref="E68:F68"/>
    <mergeCell ref="C69:D69"/>
    <mergeCell ref="E69:F69"/>
    <mergeCell ref="C70:D70"/>
    <mergeCell ref="E70:F70"/>
    <mergeCell ref="C71:D71"/>
    <mergeCell ref="E63:F63"/>
    <mergeCell ref="C64:D64"/>
    <mergeCell ref="E64:F64"/>
    <mergeCell ref="C65:D65"/>
    <mergeCell ref="E65:F65"/>
    <mergeCell ref="C66:D66"/>
    <mergeCell ref="E66:F66"/>
    <mergeCell ref="C59:D59"/>
    <mergeCell ref="E59:F59"/>
    <mergeCell ref="B60:B67"/>
    <mergeCell ref="C60:D60"/>
    <mergeCell ref="E60:F60"/>
    <mergeCell ref="C61:D61"/>
    <mergeCell ref="E61:F61"/>
    <mergeCell ref="C62:D62"/>
    <mergeCell ref="E62:F62"/>
    <mergeCell ref="C63:D63"/>
    <mergeCell ref="C56:D56"/>
    <mergeCell ref="E56:F56"/>
    <mergeCell ref="C57:D57"/>
    <mergeCell ref="E57:F57"/>
    <mergeCell ref="C58:D58"/>
    <mergeCell ref="E58:F58"/>
    <mergeCell ref="C53:D53"/>
    <mergeCell ref="E53:F53"/>
    <mergeCell ref="C54:D54"/>
    <mergeCell ref="E54:F54"/>
    <mergeCell ref="C55:D55"/>
    <mergeCell ref="E55:F55"/>
    <mergeCell ref="C50:D50"/>
    <mergeCell ref="E50:F50"/>
    <mergeCell ref="C51:D51"/>
    <mergeCell ref="E51:F51"/>
    <mergeCell ref="C52:D52"/>
    <mergeCell ref="E52:F52"/>
    <mergeCell ref="C47:D47"/>
    <mergeCell ref="E47:F47"/>
    <mergeCell ref="C48:D48"/>
    <mergeCell ref="E48:F48"/>
    <mergeCell ref="C49:D49"/>
    <mergeCell ref="E49:F49"/>
    <mergeCell ref="E43:F43"/>
    <mergeCell ref="C44:D44"/>
    <mergeCell ref="E44:F44"/>
    <mergeCell ref="C45:D45"/>
    <mergeCell ref="E45:F45"/>
    <mergeCell ref="C46:D46"/>
    <mergeCell ref="E46:F46"/>
    <mergeCell ref="C39:D39"/>
    <mergeCell ref="E39:F39"/>
    <mergeCell ref="B40:B59"/>
    <mergeCell ref="C40:D40"/>
    <mergeCell ref="E40:F40"/>
    <mergeCell ref="C41:D41"/>
    <mergeCell ref="E41:F41"/>
    <mergeCell ref="C42:D42"/>
    <mergeCell ref="E42:F42"/>
    <mergeCell ref="C43:D43"/>
    <mergeCell ref="E35:F35"/>
    <mergeCell ref="C36:D36"/>
    <mergeCell ref="E36:F36"/>
    <mergeCell ref="C37:D37"/>
    <mergeCell ref="E37:F37"/>
    <mergeCell ref="C38:D38"/>
    <mergeCell ref="E38:F38"/>
    <mergeCell ref="B31:B3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5:D15"/>
    <mergeCell ref="E15:F15"/>
    <mergeCell ref="A16:A88"/>
    <mergeCell ref="B16:D16"/>
    <mergeCell ref="E16:F16"/>
    <mergeCell ref="B17:D17"/>
    <mergeCell ref="E17:F17"/>
    <mergeCell ref="B18:D18"/>
    <mergeCell ref="E18:F18"/>
    <mergeCell ref="B19:B30"/>
    <mergeCell ref="A1:B1"/>
    <mergeCell ref="A2:B2"/>
    <mergeCell ref="A3:B3"/>
    <mergeCell ref="A4:B4"/>
    <mergeCell ref="B6:E6"/>
    <mergeCell ref="B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2026-04-11T08:04:19Z</dcterms:created>
  <dcterms:modified xsi:type="dcterms:W3CDTF">2026-04-11T08:07:30Z</dcterms:modified>
</cp:coreProperties>
</file>